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FB5C4BA3-527A-4CFA-8377-7DAF91ACDEED}" xr6:coauthVersionLast="47" xr6:coauthVersionMax="47" xr10:uidLastSave="{00000000-0000-0000-0000-000000000000}"/>
  <bookViews>
    <workbookView xWindow="37410" yWindow="11880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C7" i="1"/>
  <c r="C2" i="1" l="1"/>
  <c r="D7" i="1"/>
  <c r="E2" i="1"/>
  <c r="F2" i="1"/>
  <c r="G2" i="1"/>
  <c r="H2" i="1"/>
  <c r="I2" i="1"/>
  <c r="J2" i="1"/>
  <c r="AA7" i="1"/>
  <c r="L2" i="1"/>
  <c r="M2" i="1"/>
  <c r="N2" i="1"/>
  <c r="O2" i="1"/>
  <c r="P2" i="1"/>
  <c r="Q2" i="1"/>
  <c r="R2" i="1"/>
  <c r="S2" i="1"/>
  <c r="V7" i="1" l="1"/>
  <c r="D2" i="1"/>
  <c r="W7" i="1"/>
  <c r="AA5" i="1" s="1"/>
  <c r="AA3" i="1"/>
  <c r="X7" i="1" l="1"/>
  <c r="AA4" i="1" s="1"/>
  <c r="AA2" i="1"/>
</calcChain>
</file>

<file path=xl/sharedStrings.xml><?xml version="1.0" encoding="utf-8"?>
<sst xmlns="http://schemas.openxmlformats.org/spreadsheetml/2006/main" count="43" uniqueCount="43">
  <si>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</si>
  <si>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</si>
  <si>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</si>
  <si>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</si>
  <si>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</si>
  <si>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</si>
  <si>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</si>
  <si>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</si>
  <si>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</si>
  <si>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</si>
  <si>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</si>
  <si>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</si>
  <si>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</si>
  <si>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</si>
  <si>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</si>
  <si>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</si>
  <si>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</si>
  <si>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</si>
  <si>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</si>
  <si>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</si>
  <si>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</si>
  <si>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</si>
  <si>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</si>
  <si>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Resistance</t>
  </si>
  <si>
    <t>Power</t>
  </si>
  <si>
    <t>CRA2512-FZ-R100ELF</t>
  </si>
  <si>
    <t>CRA2512-FZ-R100ELFCT-ND</t>
  </si>
  <si>
    <t>Bourns Inc.</t>
  </si>
  <si>
    <t>https://www.bourns.com/docs/product-datasheets/cra.pdf</t>
  </si>
  <si>
    <t>Tolerance</t>
  </si>
  <si>
    <t>Mounting Type</t>
  </si>
  <si>
    <t>Sensing Type</t>
  </si>
  <si>
    <t>100mΩ</t>
  </si>
  <si>
    <t>3W</t>
  </si>
  <si>
    <t>4wire</t>
  </si>
  <si>
    <t>Metal Element</t>
  </si>
  <si>
    <t>TCR (ppm/°C)</t>
  </si>
  <si>
    <t>Automotive</t>
  </si>
  <si>
    <t>SMD</t>
  </si>
  <si>
    <t>Technology</t>
  </si>
  <si>
    <t>0Dan_Passives:R_US</t>
  </si>
  <si>
    <t>0Dan_Passives:R_US_4W</t>
  </si>
  <si>
    <t>Resistors_SMD:R_2512_4w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</si>
</sst>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1"/>
  <sheetViews>
    <sheetView tabSelected="1" topLeftCell="E1" workbookViewId="0">
      <selection activeCell="R8" sqref="R8"/>
    </sheetView>
  </sheetViews>
  <sheetFormatPr defaultRowHeight="14.5" x14ac:dyDescent="0.35"/>
  <cols>
    <col min="3" max="3" width="56.08984375" bestFit="1" customWidth="1"/>
    <col min="4" max="4" width="14.1796875" bestFit="1" customWidth="1"/>
    <col min="5" max="5" width="9.54296875" bestFit="1" customWidth="1"/>
    <col min="9" max="9" width="11.54296875" bestFit="1" customWidth="1"/>
    <col min="10" max="10" width="13.453125" bestFit="1" customWidth="1"/>
    <col min="11" max="11" width="13.453125" customWidth="1"/>
    <col min="12" max="12" width="10.1796875" bestFit="1" customWidth="1"/>
    <col min="13" max="13" width="17.36328125" customWidth="1"/>
    <col min="14" max="14" width="9.6328125" bestFit="1" customWidth="1"/>
    <col min="15" max="15" width="23.6328125" bestFit="1" customWidth="1"/>
    <col min="17" max="17" width="22.08984375" bestFit="1" customWidth="1"/>
    <col min="26" max="26" width="15" bestFit="1" customWidth="1"/>
  </cols>
  <sheetData>
    <row r="1" spans="2:27" x14ac:dyDescent="0.35">
      <c r="B1" s="1" t="s">
        <v>0</v>
      </c>
      <c r="M1" s="1" t="s">
        <v>1</v>
      </c>
    </row>
    <row r="2" spans="2:27" x14ac:dyDescent="0.35">
      <c r="B2" t="s">
        <v>2</v>
      </c>
      <c r="C2">
        <f>COUNTA(C7:C9999)</f>
        <v>1</v>
      </c>
      <c r="D2">
        <f t="shared" ref="D2:S2" si="0">COUNTA(D7:D9999)</f>
        <v>1</v>
      </c>
      <c r="E2">
        <f t="shared" si="0"/>
        <v>1</v>
      </c>
      <c r="F2">
        <f t="shared" ref="F2:J2" si="1">COUNTA(F7:F9999)</f>
        <v>1</v>
      </c>
      <c r="G2">
        <f t="shared" si="1"/>
        <v>1</v>
      </c>
      <c r="H2">
        <f t="shared" si="1"/>
        <v>1</v>
      </c>
      <c r="I2">
        <f t="shared" si="1"/>
        <v>1</v>
      </c>
      <c r="J2">
        <f t="shared" si="1"/>
        <v>1</v>
      </c>
      <c r="K2">
        <f t="shared" ref="K2" si="2">COUNTA(K7:K9999)</f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2</v>
      </c>
      <c r="R2">
        <f t="shared" si="0"/>
        <v>1</v>
      </c>
      <c r="S2">
        <f t="shared" si="0"/>
        <v>1</v>
      </c>
      <c r="Z2" t="s">
        <v>3</v>
      </c>
      <c r="AA2">
        <f>AVERAGE(W7:W9999)</f>
        <v>100</v>
      </c>
    </row>
    <row r="3" spans="2:27" x14ac:dyDescent="0.35">
      <c r="Z3" t="s">
        <v>4</v>
      </c>
      <c r="AA3">
        <f>MAX(C2:S2)</f>
        <v>2</v>
      </c>
    </row>
    <row r="4" spans="2:27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Z4" t="s">
        <v>6</v>
      </c>
      <c r="AA4">
        <f>SUM(X7:X9999)</f>
        <v>1</v>
      </c>
    </row>
    <row r="5" spans="2:27" x14ac:dyDescent="0.35">
      <c r="Z5" t="s">
        <v>7</v>
      </c>
      <c r="AA5">
        <f>COUNTIF(W7:W9999,"&lt;100")</f>
        <v>0</v>
      </c>
    </row>
    <row r="6" spans="2:27" x14ac:dyDescent="0.35">
      <c r="C6" t="s">
        <v>8</v>
      </c>
      <c r="D6" t="s">
        <v>9</v>
      </c>
      <c r="E6" t="s">
        <v>23</v>
      </c>
      <c r="F6" t="s">
        <v>24</v>
      </c>
      <c r="G6" t="s">
        <v>29</v>
      </c>
      <c r="H6" t="s">
        <v>36</v>
      </c>
      <c r="I6" t="s">
        <v>31</v>
      </c>
      <c r="J6" t="s">
        <v>39</v>
      </c>
      <c r="K6" t="s">
        <v>30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V6" t="s">
        <v>18</v>
      </c>
      <c r="W6" t="s">
        <v>19</v>
      </c>
      <c r="X6" t="s">
        <v>20</v>
      </c>
    </row>
    <row r="7" spans="2:27" x14ac:dyDescent="0.35">
      <c r="C7" t="str">
        <f>_xlfn.CONCAT(I7," ",E7," ",J7," ",G7," ",F7," ",H7,"ppm/°C ",K7," ",S7)</f>
        <v>4wire 100mΩ Metal Element 0.01 3W 50ppm/°C SMD Automotive</v>
      </c>
      <c r="D7" t="str">
        <f>_xlfn.CONCAT(E7," ",F7," ",G7)</f>
        <v>100mΩ 3W 0.01</v>
      </c>
      <c r="E7" t="s">
        <v>32</v>
      </c>
      <c r="F7" t="s">
        <v>33</v>
      </c>
      <c r="G7" s="2">
        <v>0.01</v>
      </c>
      <c r="H7">
        <v>50</v>
      </c>
      <c r="I7" t="s">
        <v>34</v>
      </c>
      <c r="J7" t="s">
        <v>35</v>
      </c>
      <c r="K7" t="s">
        <v>38</v>
      </c>
      <c r="L7" t="s">
        <v>27</v>
      </c>
      <c r="M7" t="s">
        <v>25</v>
      </c>
      <c r="N7" t="s">
        <v>22</v>
      </c>
      <c r="O7" t="s">
        <v>26</v>
      </c>
      <c r="P7" t="s">
        <v>28</v>
      </c>
      <c r="Q7" t="s">
        <v>41</v>
      </c>
      <c r="R7" t="s">
        <v>42</v>
      </c>
      <c r="S7" t="s">
        <v>37</v>
      </c>
      <c r="V7">
        <f>COUNTBLANK(C7:S7)</f>
        <v>0</v>
      </c>
      <c r="W7">
        <f>100*COUNTA(C7:S7)/$AA$7</f>
        <v>100</v>
      </c>
      <c r="X7">
        <f>IF(W7=100,1,0)</f>
        <v>1</v>
      </c>
      <c r="Z7" t="s">
        <v>21</v>
      </c>
      <c r="AA7">
        <f>SUM(C4:S4)</f>
        <v>17</v>
      </c>
    </row>
    <row r="11" spans="2:27" x14ac:dyDescent="0.35">
      <c r="Q11" t="s">
        <v>40</v>
      </c>
    </row>
  </sheetData>
  <conditionalFormatting sqref="C7:S147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2026-01-12T23:02:15Z</dcterms:modified>
</cp:coreProperties>
</file>