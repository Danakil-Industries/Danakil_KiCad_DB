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78EB5E4C-5AB6-40E7-8A6E-19570D4971D3}" xr6:coauthVersionLast="47" xr6:coauthVersionMax="47" xr10:uidLastSave="{00000000-0000-0000-0000-000000000000}"/>
  <bookViews>
    <workbookView xWindow="38280" yWindow="77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2" i="1" l="1"/>
  <c r="F2" i="1"/>
  <c r="G2" i="1"/>
  <c r="H2" i="1"/>
  <c r="I2" i="1"/>
  <c r="J2" i="1"/>
  <c r="U7" i="1"/>
  <c r="Z7" i="1"/>
  <c r="V7" i="1" s="1"/>
  <c r="Z2" i="1" s="1"/>
  <c r="D2" i="1"/>
  <c r="K2" i="1"/>
  <c r="L2" i="1"/>
  <c r="M2" i="1"/>
  <c r="N2" i="1"/>
  <c r="O2" i="1"/>
  <c r="P2" i="1"/>
  <c r="Q2" i="1"/>
  <c r="R2" i="1"/>
  <c r="C2" i="1"/>
  <c r="Z3" i="1" l="1"/>
  <c r="Z5" i="1"/>
  <c r="W7" i="1"/>
  <c r="Z4" i="1" s="1"/>
</calcChain>
</file>

<file path=xl/sharedStrings.xml><?xml version="1.0" encoding="utf-8"?>
<sst xmlns="http://schemas.openxmlformats.org/spreadsheetml/2006/main" count="41" uniqueCount="41">
  <si>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</si>
  <si>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</si>
  <si>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</si>
  <si>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</si>
  <si>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</si>
  <si>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</si>
  <si>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</si>
  <si>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</si>
  <si>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</si>
  <si>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</si>
  <si>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</si>
  <si>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</si>
  <si>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</si>
  <si>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</si>
  <si>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</si>
  <si>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</si>
  <si>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</si>
  <si>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</si>
  <si>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</si>
  <si>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</si>
  <si>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</si>
  <si>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</si>
  <si>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</si>
  <si>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Vz</t>
  </si>
  <si>
    <t>Tolerance</t>
  </si>
  <si>
    <t>Iz</t>
  </si>
  <si>
    <t>Dynamic Impedance (Ω)</t>
  </si>
  <si>
    <t>Max Power</t>
  </si>
  <si>
    <t>Mounting Type</t>
  </si>
  <si>
    <t>BZT52C5V1-TP</t>
  </si>
  <si>
    <t>MCC (Micro Commercial Components)</t>
  </si>
  <si>
    <t>5mA</t>
  </si>
  <si>
    <t>500mW</t>
  </si>
  <si>
    <t>SMD</t>
  </si>
  <si>
    <t>BZT52C5V1-TPMSCT-ND</t>
  </si>
  <si>
    <t>https://www.mccsemi.com/pdf/Products/BZT52C2V0_BZT52C75(500mW)(SOD-123).pdf</t>
  </si>
  <si>
    <t>5.1v</t>
  </si>
  <si>
    <t>6%</t>
  </si>
  <si>
    <t>0Dan_Discreet:D_Zener</t>
  </si>
  <si>
    <t>Diodes:D_SOD-123F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</si>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</sst>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47"/>
  <sheetViews>
    <sheetView tabSelected="1" workbookViewId="0">
      <selection activeCell="C7" sqref="C7"/>
    </sheetView>
  </sheetViews>
  <sheetFormatPr defaultRowHeight="14.5" x14ac:dyDescent="0.35"/>
  <cols>
    <col min="3" max="3" width="27.36328125" bestFit="1" customWidth="1"/>
    <col min="4" max="4" width="14.1796875" bestFit="1" customWidth="1"/>
    <col min="6" max="6" width="9.26953125" bestFit="1" customWidth="1"/>
    <col min="7" max="7" width="8.81640625" customWidth="1"/>
    <col min="8" max="8" width="21.54296875" bestFit="1" customWidth="1"/>
    <col min="9" max="9" width="10.36328125" bestFit="1" customWidth="1"/>
    <col min="10" max="10" width="13.7265625" bestFit="1" customWidth="1"/>
    <col min="12" max="12" width="12.6328125" customWidth="1"/>
    <col min="13" max="13" width="9.6328125" bestFit="1" customWidth="1"/>
    <col min="14" max="14" width="12.08984375" bestFit="1" customWidth="1"/>
    <col min="16" max="16" width="21.08984375" bestFit="1" customWidth="1"/>
    <col min="25" max="25" width="15" bestFit="1" customWidth="1"/>
  </cols>
  <sheetData>
    <row r="1" spans="2:26" x14ac:dyDescent="0.35">
      <c r="B1" s="1" t="s">
        <v>0</v>
      </c>
      <c r="L1" s="1" t="s">
        <v>1</v>
      </c>
    </row>
    <row r="2" spans="2:26" x14ac:dyDescent="0.35">
      <c r="B2" t="s">
        <v>2</v>
      </c>
      <c r="C2">
        <f>COUNTA(C7:C9999)</f>
        <v>1</v>
      </c>
      <c r="D2">
        <f t="shared" ref="D2:R2" si="0">COUNTA(D7:D9999)</f>
        <v>1</v>
      </c>
      <c r="E2">
        <f t="shared" si="0"/>
        <v>1</v>
      </c>
      <c r="F2">
        <f t="shared" ref="F2:J2" si="1">COUNTA(F7:F9999)</f>
        <v>1</v>
      </c>
      <c r="G2">
        <f t="shared" si="1"/>
        <v>1</v>
      </c>
      <c r="H2">
        <f t="shared" si="1"/>
        <v>1</v>
      </c>
      <c r="I2">
        <f t="shared" si="1"/>
        <v>1</v>
      </c>
      <c r="J2">
        <f t="shared" si="1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Y2" t="s">
        <v>3</v>
      </c>
      <c r="Z2">
        <f>AVERAGE(V7:V9999)</f>
        <v>100</v>
      </c>
    </row>
    <row r="3" spans="2:26" x14ac:dyDescent="0.35">
      <c r="Y3" t="s">
        <v>4</v>
      </c>
      <c r="Z3">
        <f>MAX(C2:R2)</f>
        <v>1</v>
      </c>
    </row>
    <row r="4" spans="2:26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Y4" t="s">
        <v>6</v>
      </c>
      <c r="Z4">
        <f>SUM(W7:W9999)</f>
        <v>1</v>
      </c>
    </row>
    <row r="5" spans="2:26" x14ac:dyDescent="0.35">
      <c r="Y5" t="s">
        <v>7</v>
      </c>
      <c r="Z5">
        <f>COUNTIF(V7:V9999,"&lt;100")</f>
        <v>0</v>
      </c>
    </row>
    <row r="6" spans="2:26" x14ac:dyDescent="0.35">
      <c r="C6" t="s">
        <v>8</v>
      </c>
      <c r="D6" t="s">
        <v>9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U6" t="s">
        <v>18</v>
      </c>
      <c r="V6" t="s">
        <v>19</v>
      </c>
      <c r="W6" t="s">
        <v>20</v>
      </c>
    </row>
    <row r="7" spans="2:26" x14ac:dyDescent="0.35">
      <c r="C7" t="str">
        <f>_xlfn.CONCAT(E7," ",F7," ",G7," ",H7,"Ω ",I7," ",J7," ",R7)</f>
        <v>5.1v 6% 5mA 60Ω 500mW SMD  </v>
      </c>
      <c r="D7" t="str">
        <f>_xlfn.CONCAT(E7," ",F7," ",I7)</f>
        <v>5.1v 6% 500mW</v>
      </c>
      <c r="E7" t="s">
        <v>36</v>
      </c>
      <c r="F7" s="2" t="s">
        <v>37</v>
      </c>
      <c r="G7" t="s">
        <v>31</v>
      </c>
      <c r="H7">
        <v>60</v>
      </c>
      <c r="I7" t="s">
        <v>32</v>
      </c>
      <c r="J7" t="s">
        <v>33</v>
      </c>
      <c r="K7" t="s">
        <v>30</v>
      </c>
      <c r="L7" t="s">
        <v>29</v>
      </c>
      <c r="M7" t="s">
        <v>22</v>
      </c>
      <c r="N7" t="s">
        <v>34</v>
      </c>
      <c r="O7" t="s">
        <v>35</v>
      </c>
      <c r="P7" t="s">
        <v>38</v>
      </c>
      <c r="Q7" t="s">
        <v>39</v>
      </c>
      <c r="R7" t="s">
        <v>40</v>
      </c>
      <c r="U7">
        <f>COUNTBLANK(C7:R7)</f>
        <v>0</v>
      </c>
      <c r="V7">
        <f>100*COUNTA(C7:R7)/$Z$7</f>
        <v>100</v>
      </c>
      <c r="W7">
        <f>IF(V7=100,1,0)</f>
        <v>1</v>
      </c>
      <c r="Y7" t="s">
        <v>21</v>
      </c>
      <c r="Z7">
        <f>SUM(C4:R4)</f>
        <v>16</v>
      </c>
    </row>
    <row r="8" spans="2:26" x14ac:dyDescent="0.35">
      <c r="F8" s="2"/>
    </row>
    <row r="9" spans="2:26" x14ac:dyDescent="0.35">
      <c r="F9" s="2"/>
    </row>
    <row r="10" spans="2:26" x14ac:dyDescent="0.35">
      <c r="F10" s="2"/>
    </row>
    <row r="11" spans="2:26" x14ac:dyDescent="0.35">
      <c r="F11" s="2"/>
    </row>
    <row r="12" spans="2:26" x14ac:dyDescent="0.35">
      <c r="F12" s="2"/>
    </row>
    <row r="13" spans="2:26" x14ac:dyDescent="0.35">
      <c r="F13" s="2"/>
    </row>
    <row r="14" spans="2:26" x14ac:dyDescent="0.35">
      <c r="F14" s="2"/>
    </row>
    <row r="15" spans="2:26" x14ac:dyDescent="0.35">
      <c r="F15" s="2"/>
    </row>
    <row r="16" spans="2:26" x14ac:dyDescent="0.35">
      <c r="F16" s="2"/>
    </row>
    <row r="17" spans="6:6" x14ac:dyDescent="0.35">
      <c r="F17" s="2"/>
    </row>
    <row r="18" spans="6:6" x14ac:dyDescent="0.35">
      <c r="F18" s="2"/>
    </row>
    <row r="19" spans="6:6" x14ac:dyDescent="0.35">
      <c r="F19" s="2"/>
    </row>
    <row r="20" spans="6:6" x14ac:dyDescent="0.35">
      <c r="F20" s="2"/>
    </row>
    <row r="21" spans="6:6" x14ac:dyDescent="0.35">
      <c r="F21" s="2"/>
    </row>
    <row r="22" spans="6:6" x14ac:dyDescent="0.35">
      <c r="F22" s="2"/>
    </row>
    <row r="23" spans="6:6" x14ac:dyDescent="0.35">
      <c r="F23" s="2"/>
    </row>
    <row r="24" spans="6:6" x14ac:dyDescent="0.35">
      <c r="F24" s="2"/>
    </row>
    <row r="25" spans="6:6" x14ac:dyDescent="0.35">
      <c r="F25" s="2"/>
    </row>
    <row r="26" spans="6:6" x14ac:dyDescent="0.35">
      <c r="F26" s="2"/>
    </row>
    <row r="27" spans="6:6" x14ac:dyDescent="0.35">
      <c r="F27" s="2"/>
    </row>
    <row r="28" spans="6:6" x14ac:dyDescent="0.35">
      <c r="F28" s="2"/>
    </row>
    <row r="29" spans="6:6" x14ac:dyDescent="0.35">
      <c r="F29" s="2"/>
    </row>
    <row r="30" spans="6:6" x14ac:dyDescent="0.35">
      <c r="F30" s="2"/>
    </row>
    <row r="31" spans="6:6" x14ac:dyDescent="0.35">
      <c r="F31" s="2"/>
    </row>
    <row r="32" spans="6:6" x14ac:dyDescent="0.35">
      <c r="F32" s="2"/>
    </row>
    <row r="33" spans="6:6" x14ac:dyDescent="0.35">
      <c r="F33" s="2"/>
    </row>
    <row r="34" spans="6:6" x14ac:dyDescent="0.35">
      <c r="F34" s="2"/>
    </row>
    <row r="35" spans="6:6" x14ac:dyDescent="0.35">
      <c r="F35" s="2"/>
    </row>
    <row r="36" spans="6:6" x14ac:dyDescent="0.35">
      <c r="F36" s="2"/>
    </row>
    <row r="37" spans="6:6" x14ac:dyDescent="0.35">
      <c r="F37" s="2"/>
    </row>
    <row r="38" spans="6:6" x14ac:dyDescent="0.35">
      <c r="F38" s="2"/>
    </row>
    <row r="39" spans="6:6" x14ac:dyDescent="0.35">
      <c r="F39" s="2"/>
    </row>
    <row r="40" spans="6:6" x14ac:dyDescent="0.35">
      <c r="F40" s="2"/>
    </row>
    <row r="41" spans="6:6" x14ac:dyDescent="0.35">
      <c r="F41" s="2"/>
    </row>
    <row r="42" spans="6:6" x14ac:dyDescent="0.35">
      <c r="F42" s="2"/>
    </row>
    <row r="43" spans="6:6" x14ac:dyDescent="0.35">
      <c r="F43" s="2"/>
    </row>
    <row r="44" spans="6:6" x14ac:dyDescent="0.35">
      <c r="F44" s="2"/>
    </row>
    <row r="45" spans="6:6" x14ac:dyDescent="0.35">
      <c r="F45" s="2"/>
    </row>
    <row r="46" spans="6:6" x14ac:dyDescent="0.35">
      <c r="F46" s="2"/>
    </row>
    <row r="47" spans="6:6" x14ac:dyDescent="0.35">
      <c r="F47" s="2"/>
    </row>
  </sheetData>
  <conditionalFormatting sqref="C7:R41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2026-01-09T00:18:19Z</dcterms:modified>
</cp:coreProperties>
</file>