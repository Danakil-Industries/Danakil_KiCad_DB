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A0BB0804-36E4-47F0-A112-3031D0EE2A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 s="1"/>
  <c r="W9" i="1"/>
  <c r="X9" i="1"/>
  <c r="Y9" i="1"/>
  <c r="D8" i="1"/>
  <c r="D9" i="1"/>
  <c r="C9" i="1" s="1"/>
  <c r="W10" i="1" l="1"/>
  <c r="X10" i="1"/>
  <c r="Y10" i="1" s="1"/>
  <c r="C8" i="1"/>
  <c r="W8" i="1" s="1"/>
  <c r="D7" i="1"/>
  <c r="C7" i="1" s="1"/>
  <c r="F2" i="1"/>
  <c r="E2" i="1"/>
  <c r="G2" i="1"/>
  <c r="H2" i="1"/>
  <c r="I2" i="1"/>
  <c r="J2" i="1"/>
  <c r="K2" i="1"/>
  <c r="L2" i="1"/>
  <c r="AB7" i="1"/>
  <c r="M2" i="1"/>
  <c r="N2" i="1"/>
  <c r="O2" i="1"/>
  <c r="P2" i="1"/>
  <c r="Q2" i="1"/>
  <c r="R2" i="1"/>
  <c r="S2" i="1"/>
  <c r="T2" i="1"/>
  <c r="X8" i="1" l="1"/>
  <c r="Y8" i="1" s="1"/>
  <c r="C2" i="1"/>
  <c r="W7" i="1"/>
  <c r="D2" i="1"/>
  <c r="X7" i="1"/>
  <c r="Y7" i="1" s="1"/>
  <c r="AB4" i="1" s="1"/>
  <c r="AB5" i="1"/>
  <c r="AB3" i="1" l="1"/>
  <c r="AB2" i="1"/>
</calcChain>
</file>

<file path=xl/sharedStrings.xml><?xml version="1.0" encoding="utf-8"?>
<sst xmlns="http://schemas.openxmlformats.org/spreadsheetml/2006/main" count="78" uniqueCount="63">
  <si>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</si>
  <si>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</si>
  <si>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</si>
  <si>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</si>
  <si>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</si>
  <si>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</si>
  <si>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</si>
  <si>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</si>
  <si>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</si>
  <si>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</si>
  <si>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</si>
  <si>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</si>
  <si>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</si>
  <si>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</si>
  <si>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</si>
  <si>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</si>
  <si>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</si>
  <si>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</si>
  <si>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</si>
  <si>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</si>
  <si>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Type</t>
  </si>
  <si>
    <t>Dir</t>
  </si>
  <si>
    <t>STMicroelectronics</t>
  </si>
  <si>
    <t>Zener</t>
  </si>
  <si>
    <t>ESDA5-1F4</t>
  </si>
  <si>
    <t>Digikey</t>
  </si>
  <si>
    <t>497-18703-1-ND</t>
  </si>
  <si>
    <t>https://mm.digikey.com/Volume0/opasdata/d220001/medias/docus/2149/ESDA5-1F4_DS.pdf</t>
  </si>
  <si>
    <t>Ipp(A)</t>
  </si>
  <si>
    <t>Peak Power (W)</t>
  </si>
  <si>
    <t>C @ Freq</t>
  </si>
  <si>
    <t>Size</t>
  </si>
  <si>
    <t>0201</t>
  </si>
  <si>
    <t>110pF@1MHz</t>
  </si>
  <si>
    <t>VWM(V)</t>
  </si>
  <si>
    <t> </t>
  </si>
  <si>
    <t>Channels</t>
  </si>
  <si>
    <t>Uni</t>
  </si>
  <si>
    <t>Steering</t>
  </si>
  <si>
    <t>BAV99-FDICT-ND</t>
  </si>
  <si>
    <t>BAV99-7-F</t>
  </si>
  <si>
    <t>Diodes Incorporated</t>
  </si>
  <si>
    <t>SOT23-3</t>
  </si>
  <si>
    <t>2pF@1MHz</t>
  </si>
  <si>
    <t>https://www.diodes.com/assets/Datasheets/BAV99.pdf</t>
  </si>
  <si>
    <t>0Dan_Protection:D_TVS</t>
  </si>
  <si>
    <t>0Dan_Protection:BAV99</t>
  </si>
  <si>
    <t>ICs:SOT-23-3</t>
  </si>
  <si>
    <t>Orentation Unverified</t>
  </si>
  <si>
    <t>Diodes:D_0201_0603Metric</t>
  </si>
  <si>
    <t>SMBJ36CA-13-F</t>
  </si>
  <si>
    <t>Bidir</t>
  </si>
  <si>
    <t>SMB</t>
  </si>
  <si>
    <t>SMBJ36CA-FDICT-ND</t>
  </si>
  <si>
    <t>https://www.diodes.com/assets/Datasheets/ds19002.pdf</t>
  </si>
  <si>
    <t>Diodes:D_SMB_Bidir</t>
  </si>
  <si>
    <t>0Dan_Protection:D_TVS_Dual</t>
  </si>
  <si>
    <t>ESD862DBZR</t>
  </si>
  <si>
    <t>Texas Instruments</t>
  </si>
  <si>
    <t>296-ESD862DBZRCT-ND</t>
  </si>
  <si>
    <t>https://www.ti.com/lit/ds/symlink/esd852.pdf?ts=1704443610903</t>
  </si>
  <si>
    <t>2.6pF@1Mhz</t>
  </si>
  <si>
    <t>0Dan_Protection:D_TVS_Dual_2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</si>
</sst>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m.digikey.com/Volume0/opasdata/d220001/medias/docus/2149/ESDA5-1F4_DS.pdf" TargetMode="External"/><Relationship Id="rId2" Type="http://schemas.openxmlformats.org/officeDocument/2006/relationships/hyperlink" Target="mailto:2pF@1MHz" TargetMode="External"/><Relationship Id="rId1" Type="http://schemas.openxmlformats.org/officeDocument/2006/relationships/hyperlink" Target="mailto:110pF@1MHz" TargetMode="External"/><Relationship Id="rId5" Type="http://schemas.openxmlformats.org/officeDocument/2006/relationships/hyperlink" Target="mailto:2.6pF@1Mhz" TargetMode="External"/><Relationship Id="rId4" Type="http://schemas.openxmlformats.org/officeDocument/2006/relationships/hyperlink" Target="https://www.diodes.com/assets/Datasheets/BAV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0"/>
  <sheetViews>
    <sheetView tabSelected="1" topLeftCell="D1" zoomScale="85" zoomScaleNormal="85" workbookViewId="0">
      <selection activeCell="C10" sqref="C10:T10"/>
    </sheetView>
  </sheetViews>
  <sheetFormatPr defaultRowHeight="14.5" x14ac:dyDescent="0.35"/>
  <cols>
    <col min="3" max="3" width="43.54296875" bestFit="1" customWidth="1"/>
    <col min="4" max="4" width="16.54296875" bestFit="1" customWidth="1"/>
    <col min="10" max="10" width="14" bestFit="1" customWidth="1"/>
    <col min="11" max="11" width="12.36328125" bestFit="1" customWidth="1"/>
    <col min="12" max="12" width="8.90625" style="2"/>
    <col min="13" max="13" width="17.90625" bestFit="1" customWidth="1"/>
    <col min="14" max="14" width="14.36328125" customWidth="1"/>
    <col min="15" max="15" width="9.6328125" bestFit="1" customWidth="1"/>
    <col min="16" max="16" width="15.08984375" bestFit="1" customWidth="1"/>
    <col min="18" max="18" width="20.81640625" bestFit="1" customWidth="1"/>
    <col min="19" max="19" width="25" bestFit="1" customWidth="1"/>
    <col min="20" max="20" width="19" bestFit="1" customWidth="1"/>
    <col min="27" max="27" width="15" bestFit="1" customWidth="1"/>
  </cols>
  <sheetData>
    <row r="1" spans="2:28" x14ac:dyDescent="0.35">
      <c r="B1" s="1"/>
      <c r="N1" s="1"/>
    </row>
    <row r="2" spans="2:28" x14ac:dyDescent="0.35">
      <c r="B2" t="s">
        <v>0</v>
      </c>
      <c r="C2">
        <f>COUNTA(C7:C9999)</f>
        <v>4</v>
      </c>
      <c r="D2">
        <f t="shared" ref="D2:T2" si="0">COUNTA(D7:D9999)</f>
        <v>4</v>
      </c>
      <c r="E2">
        <f t="shared" si="0"/>
        <v>4</v>
      </c>
      <c r="F2">
        <f t="shared" ref="F2" si="1">COUNTA(F7:F9999)</f>
        <v>4</v>
      </c>
      <c r="G2">
        <f t="shared" ref="G2:L2" si="2">COUNTA(G7:G9999)</f>
        <v>4</v>
      </c>
      <c r="H2">
        <f t="shared" si="2"/>
        <v>4</v>
      </c>
      <c r="I2">
        <f t="shared" si="2"/>
        <v>4</v>
      </c>
      <c r="J2">
        <f t="shared" si="2"/>
        <v>4</v>
      </c>
      <c r="K2">
        <f t="shared" si="2"/>
        <v>4</v>
      </c>
      <c r="L2">
        <f t="shared" si="2"/>
        <v>4</v>
      </c>
      <c r="M2">
        <f t="shared" si="0"/>
        <v>4</v>
      </c>
      <c r="N2">
        <f t="shared" si="0"/>
        <v>4</v>
      </c>
      <c r="O2">
        <f t="shared" si="0"/>
        <v>4</v>
      </c>
      <c r="P2">
        <f t="shared" si="0"/>
        <v>4</v>
      </c>
      <c r="Q2">
        <f t="shared" si="0"/>
        <v>4</v>
      </c>
      <c r="R2">
        <f t="shared" si="0"/>
        <v>4</v>
      </c>
      <c r="S2">
        <f t="shared" si="0"/>
        <v>4</v>
      </c>
      <c r="T2">
        <f t="shared" si="0"/>
        <v>4</v>
      </c>
      <c r="AA2" t="s">
        <v>1</v>
      </c>
      <c r="AB2">
        <f>AVERAGE(X7:X9999)</f>
        <v>100</v>
      </c>
    </row>
    <row r="3" spans="2:28" x14ac:dyDescent="0.35">
      <c r="L3"/>
      <c r="AA3" t="s">
        <v>2</v>
      </c>
      <c r="AB3">
        <f>MAX(C2:T2)</f>
        <v>4</v>
      </c>
    </row>
    <row r="4" spans="2:28" x14ac:dyDescent="0.35">
      <c r="B4" t="s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AA4" t="s">
        <v>4</v>
      </c>
      <c r="AB4">
        <f>SUM(Y7:Y9999)</f>
        <v>4</v>
      </c>
    </row>
    <row r="5" spans="2:28" x14ac:dyDescent="0.35">
      <c r="AA5" t="s">
        <v>5</v>
      </c>
      <c r="AB5">
        <f>COUNTIF(X7:X9999,"&lt;100")</f>
        <v>0</v>
      </c>
    </row>
    <row r="6" spans="2:28" x14ac:dyDescent="0.35">
      <c r="C6" t="s">
        <v>6</v>
      </c>
      <c r="D6" t="s">
        <v>7</v>
      </c>
      <c r="E6" t="s">
        <v>20</v>
      </c>
      <c r="F6" t="s">
        <v>36</v>
      </c>
      <c r="G6" t="s">
        <v>21</v>
      </c>
      <c r="H6" t="s">
        <v>34</v>
      </c>
      <c r="I6" t="s">
        <v>28</v>
      </c>
      <c r="J6" t="s">
        <v>29</v>
      </c>
      <c r="K6" t="s">
        <v>30</v>
      </c>
      <c r="L6" s="2" t="s">
        <v>31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  <c r="W6" t="s">
        <v>16</v>
      </c>
      <c r="X6" t="s">
        <v>17</v>
      </c>
      <c r="Y6" t="s">
        <v>18</v>
      </c>
    </row>
    <row r="7" spans="2:28" x14ac:dyDescent="0.35">
      <c r="C7" t="str">
        <f>_xlfn.CONCAT(D7," ",I7,"A ",L7," ",T7)</f>
        <v>Zener 1Ch Uni 5.5V 11A 0201 Orentation Unverified</v>
      </c>
      <c r="D7" t="str">
        <f>_xlfn.CONCAT(E7," ",F7,"Ch ",G7," ",H7,"V")</f>
        <v>Zener 1Ch Uni 5.5V</v>
      </c>
      <c r="E7" t="s">
        <v>23</v>
      </c>
      <c r="F7">
        <v>1</v>
      </c>
      <c r="G7" t="s">
        <v>37</v>
      </c>
      <c r="H7">
        <v>5.5</v>
      </c>
      <c r="I7">
        <v>11</v>
      </c>
      <c r="J7">
        <v>110</v>
      </c>
      <c r="K7" s="3" t="s">
        <v>33</v>
      </c>
      <c r="L7" s="2" t="s">
        <v>32</v>
      </c>
      <c r="M7" t="s">
        <v>22</v>
      </c>
      <c r="N7" t="s">
        <v>24</v>
      </c>
      <c r="O7" t="s">
        <v>25</v>
      </c>
      <c r="P7" t="s">
        <v>26</v>
      </c>
      <c r="Q7" s="3" t="s">
        <v>27</v>
      </c>
      <c r="R7" t="s">
        <v>45</v>
      </c>
      <c r="S7" t="s">
        <v>49</v>
      </c>
      <c r="T7" t="s">
        <v>48</v>
      </c>
      <c r="W7">
        <f>COUNTBLANK(C7:T7)</f>
        <v>0</v>
      </c>
      <c r="X7">
        <f>100*COUNTA(C7:T7)/$AB$7</f>
        <v>100</v>
      </c>
      <c r="Y7">
        <f>IF(X7=100,1,0)</f>
        <v>1</v>
      </c>
      <c r="AA7" t="s">
        <v>19</v>
      </c>
      <c r="AB7">
        <f>SUM(C4:T4)</f>
        <v>18</v>
      </c>
    </row>
    <row r="8" spans="2:28" x14ac:dyDescent="0.35">
      <c r="C8" t="str">
        <f>_xlfn.CONCAT(D8," ",I8,"A ",L8," ",T8)</f>
        <v>Steering 1Ch    V 2A SOT23-3  </v>
      </c>
      <c r="D8" t="str">
        <f t="shared" ref="D8:D9" si="3">_xlfn.CONCAT(E8," ",F8,"Ch ",G8," ",H8,"V")</f>
        <v>Steering 1Ch    V</v>
      </c>
      <c r="E8" t="s">
        <v>38</v>
      </c>
      <c r="F8">
        <v>1</v>
      </c>
      <c r="G8" t="s">
        <v>35</v>
      </c>
      <c r="H8" t="s">
        <v>35</v>
      </c>
      <c r="I8">
        <v>2</v>
      </c>
      <c r="J8" t="s">
        <v>35</v>
      </c>
      <c r="K8" s="3" t="s">
        <v>43</v>
      </c>
      <c r="L8" s="2" t="s">
        <v>42</v>
      </c>
      <c r="M8" t="s">
        <v>41</v>
      </c>
      <c r="N8" t="s">
        <v>40</v>
      </c>
      <c r="O8" t="s">
        <v>25</v>
      </c>
      <c r="P8" t="s">
        <v>39</v>
      </c>
      <c r="Q8" s="3" t="s">
        <v>44</v>
      </c>
      <c r="R8" t="s">
        <v>46</v>
      </c>
      <c r="S8" t="s">
        <v>47</v>
      </c>
      <c r="T8" t="s">
        <v>35</v>
      </c>
      <c r="W8">
        <f>COUNTBLANK(C8:T8)</f>
        <v>0</v>
      </c>
      <c r="X8">
        <f>100*COUNTA(C8:T8)/$AB$7</f>
        <v>100</v>
      </c>
      <c r="Y8">
        <f>IF(X8=100,1,0)</f>
        <v>1</v>
      </c>
    </row>
    <row r="9" spans="2:28" x14ac:dyDescent="0.35">
      <c r="C9" t="str">
        <f>_xlfn.CONCAT(D9," ",I9,"A ",L9," ",T9)</f>
        <v>Zener 1Ch Bidir 36V 10.3A SMB  </v>
      </c>
      <c r="D9" t="str">
        <f t="shared" si="3"/>
        <v>Zener 1Ch Bidir 36V</v>
      </c>
      <c r="E9" t="s">
        <v>23</v>
      </c>
      <c r="F9">
        <v>1</v>
      </c>
      <c r="G9" t="s">
        <v>51</v>
      </c>
      <c r="H9">
        <v>36</v>
      </c>
      <c r="I9">
        <v>10.3</v>
      </c>
      <c r="J9">
        <v>600</v>
      </c>
      <c r="K9" t="s">
        <v>35</v>
      </c>
      <c r="L9" s="2" t="s">
        <v>52</v>
      </c>
      <c r="M9" t="s">
        <v>41</v>
      </c>
      <c r="N9" t="s">
        <v>50</v>
      </c>
      <c r="O9" t="s">
        <v>25</v>
      </c>
      <c r="P9" t="s">
        <v>53</v>
      </c>
      <c r="Q9" t="s">
        <v>54</v>
      </c>
      <c r="R9" t="s">
        <v>56</v>
      </c>
      <c r="S9" t="s">
        <v>55</v>
      </c>
      <c r="T9" t="s">
        <v>35</v>
      </c>
      <c r="W9">
        <f>COUNTBLANK(C9:T9)</f>
        <v>0</v>
      </c>
      <c r="X9">
        <f>100*COUNTA(C9:T9)/$AB$7</f>
        <v>100</v>
      </c>
      <c r="Y9">
        <f>IF(X9=100,1,0)</f>
        <v>1</v>
      </c>
    </row>
    <row r="10" spans="2:28" x14ac:dyDescent="0.35">
      <c r="C10" t="str">
        <f>_xlfn.CONCAT(D10," ",I10,"A ",L10," ",T10)</f>
        <v>Zener 2Ch Bidir 35V 3.1A    </v>
      </c>
      <c r="D10" t="str">
        <f t="shared" ref="D10" si="4">_xlfn.CONCAT(E10," ",F10,"Ch ",G10," ",H10,"V")</f>
        <v>Zener 2Ch Bidir 35V</v>
      </c>
      <c r="E10" t="s">
        <v>23</v>
      </c>
      <c r="F10">
        <v>2</v>
      </c>
      <c r="G10" t="s">
        <v>51</v>
      </c>
      <c r="H10">
        <v>35</v>
      </c>
      <c r="I10">
        <v>3.1</v>
      </c>
      <c r="J10">
        <v>175</v>
      </c>
      <c r="K10" s="3" t="s">
        <v>61</v>
      </c>
      <c r="L10" s="2" t="s">
        <v>35</v>
      </c>
      <c r="M10" t="s">
        <v>58</v>
      </c>
      <c r="N10" t="s">
        <v>57</v>
      </c>
      <c r="O10" t="s">
        <v>25</v>
      </c>
      <c r="P10" t="s">
        <v>59</v>
      </c>
      <c r="Q10" t="s">
        <v>60</v>
      </c>
      <c r="R10" t="s">
        <v>62</v>
      </c>
      <c r="S10" t="s">
        <v>47</v>
      </c>
      <c r="T10" t="s">
        <v>35</v>
      </c>
      <c r="W10">
        <f>COUNTBLANK(C10:T10)</f>
        <v>0</v>
      </c>
      <c r="X10">
        <f>100*COUNTA(C10:T10)/$AB$7</f>
        <v>100</v>
      </c>
      <c r="Y10">
        <f>IF(X10=100,1,0)</f>
        <v>1</v>
      </c>
    </row>
  </sheetData>
  <conditionalFormatting sqref="C7:T41">
    <cfRule type="containsBlanks" dxfId="0" priority="1">
      <formula>LEN(TRIM(C7))=0</formula>
    </cfRule>
  </conditionalFormatting>
  <hyperlinks>
    <hyperlink ref="K7" r:id="rId1" xr:uid="{5D8C1057-12A4-42D0-A591-2242E50146B9}"/>
    <hyperlink ref="K8" r:id="rId2" xr:uid="{41297C62-6D6E-42EF-9ABA-3CFEE4736466}"/>
    <hyperlink ref="Q7" r:id="rId3" xr:uid="{4411BFB1-B34B-49AA-B9D8-ED8BBCDDEEA7}"/>
    <hyperlink ref="Q8" r:id="rId4" xr:uid="{408C4100-39C8-4133-A3B5-D3EE1C6C1ED8}"/>
    <hyperlink ref="K10" r:id="rId5" xr:uid="{22A9EC77-91D1-47BC-8C90-6C1D4CC7AD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2026-01-13T00:55:53Z</dcterms:modified>
</cp:coreProperties>
</file>