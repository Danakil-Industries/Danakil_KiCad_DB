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Github\Danakil_KiCad_DB\To Add v2\"/>
    </mc:Choice>
  </mc:AlternateContent>
  <xr:revisionPtr revIDLastSave="0" documentId="13_ncr:1_{C7AC0F3C-410D-4CB6-BD79-EA4B3D58877B}" xr6:coauthVersionLast="47" xr6:coauthVersionMax="47" xr10:uidLastSave="{00000000-0000-0000-0000-000000000000}"/>
  <bookViews>
    <workbookView xWindow="39960" yWindow="10590" windowWidth="19200" windowHeight="111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C9" i="1" s="1"/>
  <c r="T9" i="1" s="1"/>
  <c r="T10" i="1"/>
  <c r="D8" i="1"/>
  <c r="C8" i="1" s="1"/>
  <c r="T8" i="1" s="1"/>
  <c r="D7" i="1"/>
  <c r="C7" i="1" s="1"/>
  <c r="L2" i="1"/>
  <c r="M2" i="1"/>
  <c r="N2" i="1"/>
  <c r="O2" i="1"/>
  <c r="P2" i="1"/>
  <c r="Y7" i="1"/>
  <c r="E2" i="1"/>
  <c r="F2" i="1"/>
  <c r="G2" i="1"/>
  <c r="H2" i="1"/>
  <c r="I2" i="1"/>
  <c r="J2" i="1"/>
  <c r="K2" i="1"/>
  <c r="Q2" i="1"/>
  <c r="U9" i="1" l="1"/>
  <c r="V9" i="1" s="1"/>
  <c r="U10" i="1"/>
  <c r="V10" i="1" s="1"/>
  <c r="C2" i="1"/>
  <c r="T7" i="1"/>
  <c r="U7" i="1"/>
  <c r="V7" i="1" s="1"/>
  <c r="D2" i="1"/>
  <c r="U8" i="1"/>
  <c r="V8" i="1" s="1"/>
  <c r="Y3" i="1" l="1"/>
  <c r="Y5" i="1"/>
  <c r="Y2" i="1"/>
  <c r="Y4" i="1"/>
</calcChain>
</file>

<file path=xl/sharedStrings.xml><?xml version="1.0" encoding="utf-8"?>
<sst xmlns="http://schemas.openxmlformats.org/spreadsheetml/2006/main" count="65" uniqueCount="52">
  <si>
    <t>Remember to add to the database!!!</t>
  </si>
  <si>
    <t>Totals</t>
  </si>
  <si>
    <t>% Completed</t>
  </si>
  <si>
    <t>Entries</t>
  </si>
  <si>
    <t>DB Param</t>
  </si>
  <si>
    <t>Total Complete</t>
  </si>
  <si>
    <t>Total Incomplete</t>
  </si>
  <si>
    <t>Name</t>
  </si>
  <si>
    <t>Value</t>
  </si>
  <si>
    <t>MFG</t>
  </si>
  <si>
    <t>MFG PN</t>
  </si>
  <si>
    <t>Distributor</t>
  </si>
  <si>
    <t>Distributor Pn</t>
  </si>
  <si>
    <t>Datasheet</t>
  </si>
  <si>
    <t>Symbol</t>
  </si>
  <si>
    <t>Footprint</t>
  </si>
  <si>
    <t>Comment</t>
  </si>
  <si>
    <t>Blanks</t>
  </si>
  <si>
    <t>% Filled</t>
  </si>
  <si>
    <t>Complete?</t>
  </si>
  <si>
    <t>DB Params</t>
  </si>
  <si>
    <t>RJ__</t>
  </si>
  <si>
    <t>Positions</t>
  </si>
  <si>
    <t>Mounting Type</t>
  </si>
  <si>
    <t>Orientation</t>
  </si>
  <si>
    <t>Features</t>
  </si>
  <si>
    <t>RJ45</t>
  </si>
  <si>
    <t>8P8C</t>
  </si>
  <si>
    <t>Through Hole</t>
  </si>
  <si>
    <t>R/A</t>
  </si>
  <si>
    <t> </t>
  </si>
  <si>
    <t>Amphenol ICC (FCI)</t>
  </si>
  <si>
    <t>54602-908LF</t>
  </si>
  <si>
    <t>Digikey</t>
  </si>
  <si>
    <t>609-1046-ND</t>
  </si>
  <si>
    <t>https://cdn.amphenol-cs.com/media/wysiwyg/files/documentation/datasheet/inputoutput/io_modularjack.pdf</t>
  </si>
  <si>
    <t>0Dan_Connectors:8P8C</t>
  </si>
  <si>
    <t>Connectors:RJ45_Amphenol_54602-x08_Horizontal</t>
  </si>
  <si>
    <t>RJ25</t>
  </si>
  <si>
    <t>6P6C</t>
  </si>
  <si>
    <t>Adam Tech</t>
  </si>
  <si>
    <t>MTJ-661X1</t>
  </si>
  <si>
    <t>2057-MTJ-661X1-ND</t>
  </si>
  <si>
    <t>https://app.adam-tech.com/products/download/data_sheet/203792/mtj-661x1-data-sheet.pdf</t>
  </si>
  <si>
    <t>0Dan_Connectors:6P6C</t>
  </si>
  <si>
    <t>Connectors:MTJ-661X1</t>
  </si>
  <si>
    <t>2057-MTJ-88ARX1-FSM-LG-ND</t>
  </si>
  <si>
    <t>MTJ-88ARX1-FSM-LG</t>
  </si>
  <si>
    <t>Shielded, LEDs</t>
  </si>
  <si>
    <t>https://app.adam-tech.com/products/download/data_sheet/203879/mtj-88arx1-fsm-lg-data-sheet.pdf</t>
  </si>
  <si>
    <t>0Dan_Connectors:8P8C_LED_Shielded_x2_GY</t>
  </si>
  <si>
    <t>Connectors:ADAMTECH_MTJ-88ARX1-FSM-LG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</si>
</sst>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"/>
  <sheetViews>
    <sheetView tabSelected="1" topLeftCell="D1" workbookViewId="0">
      <selection activeCell="C9" sqref="C9:Q9"/>
    </sheetView>
  </sheetViews>
  <sheetFormatPr defaultRowHeight="14.5" x14ac:dyDescent="0.35"/>
  <cols>
    <col min="3" max="3" width="37.81640625" bestFit="1" customWidth="1"/>
    <col min="7" max="7" width="9.6328125" bestFit="1" customWidth="1"/>
    <col min="8" max="8" width="12.08984375" bestFit="1" customWidth="1"/>
    <col min="24" max="24" width="15" bestFit="1" customWidth="1"/>
  </cols>
  <sheetData>
    <row r="1" spans="1:25" x14ac:dyDescent="0.35">
      <c r="B1" s="1"/>
      <c r="F1" s="1" t="s">
        <v>0</v>
      </c>
    </row>
    <row r="2" spans="1:25" x14ac:dyDescent="0.35">
      <c r="B2" t="s">
        <v>1</v>
      </c>
      <c r="C2">
        <f t="shared" ref="C2:Q2" si="0">COUNTA(C7:C9999)</f>
        <v>3</v>
      </c>
      <c r="D2">
        <f t="shared" si="0"/>
        <v>3</v>
      </c>
      <c r="E2">
        <f t="shared" si="0"/>
        <v>3</v>
      </c>
      <c r="F2">
        <f t="shared" si="0"/>
        <v>3</v>
      </c>
      <c r="G2">
        <f t="shared" si="0"/>
        <v>3</v>
      </c>
      <c r="H2">
        <f t="shared" si="0"/>
        <v>3</v>
      </c>
      <c r="I2">
        <f t="shared" si="0"/>
        <v>3</v>
      </c>
      <c r="J2">
        <f t="shared" si="0"/>
        <v>3</v>
      </c>
      <c r="K2">
        <f t="shared" si="0"/>
        <v>3</v>
      </c>
      <c r="L2">
        <f t="shared" si="0"/>
        <v>3</v>
      </c>
      <c r="M2">
        <f t="shared" si="0"/>
        <v>3</v>
      </c>
      <c r="N2">
        <f t="shared" si="0"/>
        <v>3</v>
      </c>
      <c r="O2">
        <f t="shared" si="0"/>
        <v>3</v>
      </c>
      <c r="P2">
        <f t="shared" si="0"/>
        <v>3</v>
      </c>
      <c r="Q2">
        <f t="shared" si="0"/>
        <v>3</v>
      </c>
      <c r="X2" t="s">
        <v>2</v>
      </c>
      <c r="Y2">
        <f>AVERAGE(U7:U9999)</f>
        <v>75</v>
      </c>
    </row>
    <row r="3" spans="1:25" x14ac:dyDescent="0.35">
      <c r="X3" t="s">
        <v>3</v>
      </c>
      <c r="Y3">
        <f>MAX(C2:Q2)</f>
        <v>3</v>
      </c>
    </row>
    <row r="4" spans="1:25" x14ac:dyDescent="0.35">
      <c r="B4" t="s">
        <v>4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X4" t="s">
        <v>5</v>
      </c>
      <c r="Y4">
        <f>SUM(V7:V9999)</f>
        <v>3</v>
      </c>
    </row>
    <row r="5" spans="1:25" x14ac:dyDescent="0.35">
      <c r="X5" t="s">
        <v>6</v>
      </c>
      <c r="Y5">
        <f>COUNTIF(U7:U9999,"&lt;100")</f>
        <v>1</v>
      </c>
    </row>
    <row r="6" spans="1:25" x14ac:dyDescent="0.35">
      <c r="C6" t="s">
        <v>7</v>
      </c>
      <c r="D6" t="s">
        <v>8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9</v>
      </c>
      <c r="K6" t="s">
        <v>10</v>
      </c>
      <c r="L6" t="s">
        <v>11</v>
      </c>
      <c r="M6" t="s">
        <v>12</v>
      </c>
      <c r="N6" t="s">
        <v>13</v>
      </c>
      <c r="O6" t="s">
        <v>14</v>
      </c>
      <c r="P6" t="s">
        <v>15</v>
      </c>
      <c r="Q6" t="s">
        <v>16</v>
      </c>
      <c r="T6" t="s">
        <v>17</v>
      </c>
      <c r="U6" t="s">
        <v>18</v>
      </c>
      <c r="V6" t="s">
        <v>19</v>
      </c>
    </row>
    <row r="7" spans="1:25" x14ac:dyDescent="0.35">
      <c r="A7">
        <v>1</v>
      </c>
      <c r="C7" t="str">
        <f>_xlfn.CONCAT(F7," ",D7," ",G7," ",I7," ",Q7)</f>
        <v>8P8C RJ45 R/A Through Hole    </v>
      </c>
      <c r="D7" t="str">
        <f>_xlfn.CONCAT(E7," ",H7)</f>
        <v>RJ45 R/A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30</v>
      </c>
      <c r="T7">
        <f>COUNTBLANK(C7:Q7)</f>
        <v>0</v>
      </c>
      <c r="U7">
        <f>100*COUNTA(C7:Q7)/$Y$7</f>
        <v>100</v>
      </c>
      <c r="V7">
        <f>IF(U7=100,1,0)</f>
        <v>1</v>
      </c>
      <c r="X7" t="s">
        <v>20</v>
      </c>
      <c r="Y7">
        <f>SUM(C4:Q4)</f>
        <v>15</v>
      </c>
    </row>
    <row r="8" spans="1:25" x14ac:dyDescent="0.35">
      <c r="A8">
        <v>2</v>
      </c>
      <c r="C8" t="str">
        <f>_xlfn.CONCAT(F8," ",D8," ",G8," ",I8," ",Q8)</f>
        <v>6P6C RJ25 R/A Through Hole    </v>
      </c>
      <c r="D8" t="str">
        <f>_xlfn.CONCAT(E8," ",H8)</f>
        <v>RJ25 R/A</v>
      </c>
      <c r="E8" t="s">
        <v>38</v>
      </c>
      <c r="F8" t="s">
        <v>39</v>
      </c>
      <c r="G8" t="s">
        <v>28</v>
      </c>
      <c r="H8" t="s">
        <v>29</v>
      </c>
      <c r="I8" t="s">
        <v>30</v>
      </c>
      <c r="J8" t="s">
        <v>40</v>
      </c>
      <c r="K8" t="s">
        <v>41</v>
      </c>
      <c r="L8" t="s">
        <v>33</v>
      </c>
      <c r="M8" t="s">
        <v>42</v>
      </c>
      <c r="N8" t="s">
        <v>43</v>
      </c>
      <c r="O8" t="s">
        <v>44</v>
      </c>
      <c r="P8" t="s">
        <v>45</v>
      </c>
      <c r="Q8" t="s">
        <v>30</v>
      </c>
      <c r="T8">
        <f>COUNTBLANK(C8:Q8)</f>
        <v>0</v>
      </c>
      <c r="U8">
        <f>100*COUNTA(C8:Q8)/$Y$7</f>
        <v>100</v>
      </c>
      <c r="V8">
        <f>IF(U8=100,1,0)</f>
        <v>1</v>
      </c>
    </row>
    <row r="9" spans="1:25" x14ac:dyDescent="0.35">
      <c r="C9" t="str">
        <f>_xlfn.CONCAT(F9," ",D9," ",G9," ",I9," ",Q9)</f>
        <v>8P8C RJ45 R/A Through Hole Shielded, LEDs  </v>
      </c>
      <c r="D9" t="str">
        <f>_xlfn.CONCAT(E9," ",H9)</f>
        <v>RJ45 R/A</v>
      </c>
      <c r="E9" t="s">
        <v>26</v>
      </c>
      <c r="F9" t="s">
        <v>27</v>
      </c>
      <c r="G9" t="s">
        <v>28</v>
      </c>
      <c r="H9" t="s">
        <v>29</v>
      </c>
      <c r="I9" t="s">
        <v>48</v>
      </c>
      <c r="J9" t="s">
        <v>40</v>
      </c>
      <c r="K9" t="s">
        <v>47</v>
      </c>
      <c r="L9" t="s">
        <v>33</v>
      </c>
      <c r="M9" t="s">
        <v>46</v>
      </c>
      <c r="N9" t="s">
        <v>49</v>
      </c>
      <c r="O9" t="s">
        <v>50</v>
      </c>
      <c r="P9" t="s">
        <v>51</v>
      </c>
      <c r="Q9" t="s">
        <v>30</v>
      </c>
      <c r="T9">
        <f>COUNTBLANK(C9:Q9)</f>
        <v>0</v>
      </c>
      <c r="U9">
        <f>100*COUNTA(C9:Q9)/$Y$7</f>
        <v>100</v>
      </c>
      <c r="V9">
        <f t="shared" ref="V9:V10" si="1">IF(U9=100,1,0)</f>
        <v>1</v>
      </c>
    </row>
    <row r="10" spans="1:25" x14ac:dyDescent="0.35">
      <c r="T10">
        <f>COUNTBLANK(C10:Q10)</f>
        <v>15</v>
      </c>
      <c r="U10">
        <f>100*COUNTA(C10:Q10)/$Y$7</f>
        <v>0</v>
      </c>
      <c r="V10">
        <f t="shared" si="1"/>
        <v>0</v>
      </c>
    </row>
  </sheetData>
  <conditionalFormatting sqref="C7:Q53">
    <cfRule type="containsBlanks" dxfId="0" priority="1">
      <formula>LEN(TRIM(C7))=0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Wiens</dc:creator>
  <cp:lastModifiedBy>Wiens, Gary</cp:lastModifiedBy>
  <dcterms:created xsi:type="dcterms:W3CDTF">2015-06-05T18:17:20Z</dcterms:created>
  <dcterms:modified xsi:type="dcterms:W3CDTF">2026-03-06T23:02:20Z</dcterms:modified>
</cp:coreProperties>
</file>