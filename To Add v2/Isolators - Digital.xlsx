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FC74076A-E6CA-46CB-BE37-1D2B66B7B28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C8" i="1"/>
  <c r="C7" i="1"/>
  <c r="D8" i="1"/>
  <c r="D7" i="1"/>
  <c r="X7" i="1" l="1"/>
  <c r="X8" i="1"/>
  <c r="E2" i="1"/>
  <c r="F2" i="1"/>
  <c r="G2" i="1"/>
  <c r="H2" i="1"/>
  <c r="I2" i="1"/>
  <c r="J2" i="1"/>
  <c r="K2" i="1"/>
  <c r="L2" i="1"/>
  <c r="AC7" i="1"/>
  <c r="Y8" i="1" s="1"/>
  <c r="Z8" i="1" s="1"/>
  <c r="N2" i="1"/>
  <c r="O2" i="1"/>
  <c r="P2" i="1"/>
  <c r="Q2" i="1"/>
  <c r="R2" i="1"/>
  <c r="S2" i="1"/>
  <c r="T2" i="1"/>
  <c r="U2" i="1"/>
  <c r="C2" i="1"/>
  <c r="D2" i="1" l="1"/>
  <c r="AC3" i="1" s="1"/>
  <c r="Y7" i="1"/>
  <c r="AC2" i="1" s="1"/>
  <c r="Z7" i="1" l="1"/>
  <c r="AC4" i="1" s="1"/>
  <c r="AC5" i="1"/>
</calcChain>
</file>

<file path=xl/sharedStrings.xml><?xml version="1.0" encoding="utf-8"?>
<sst xmlns="http://schemas.openxmlformats.org/spreadsheetml/2006/main" count="64" uniqueCount="54">
  <si>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</si>
  <si>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</si>
  <si>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</si>
  <si>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</si>
  <si>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</si>
  <si>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</si>
  <si>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</si>
  <si>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</si>
  <si>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</si>
  <si>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</si>
  <si>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</si>
  <si>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</si>
  <si>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</si>
  <si>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</si>
  <si>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</si>
  <si>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</si>
  <si>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</si>
  <si>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</si>
  <si>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</si>
  <si>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</si>
  <si>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</si>
  <si>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</si>
  <si>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</si>
  <si>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ISO7762FDBQR</t>
  </si>
  <si>
    <t>ISO7762FDWR</t>
  </si>
  <si>
    <t>https://www.ti.com/lit/ds/symlink/iso7761.pdf</t>
  </si>
  <si>
    <t>Texas Instruments</t>
  </si>
  <si>
    <t>296-49452-1-ND</t>
  </si>
  <si>
    <t>296-ISO7762FDWRCT-ND</t>
  </si>
  <si>
    <t>Inputs - Side 1/Side2</t>
  </si>
  <si>
    <t>Channels</t>
  </si>
  <si>
    <t>4/2</t>
  </si>
  <si>
    <t>Channel Type</t>
  </si>
  <si>
    <t>Unidirectional</t>
  </si>
  <si>
    <t>Supply Voltage</t>
  </si>
  <si>
    <t>https://www.ti.com/lit/ds/symlink/iso7760.pdf</t>
  </si>
  <si>
    <t>2.25-5.5v</t>
  </si>
  <si>
    <t>Data Rate</t>
  </si>
  <si>
    <t>Max Working Voltage</t>
  </si>
  <si>
    <t>566Vpk</t>
  </si>
  <si>
    <t>2121Vpk</t>
  </si>
  <si>
    <t>Min CTMI</t>
  </si>
  <si>
    <t>Isolation Type</t>
  </si>
  <si>
    <t>Reinforced</t>
  </si>
  <si>
    <t>85kV/us</t>
  </si>
  <si>
    <t>0Dan_ICs_Isolators - Digital:ISO7762</t>
  </si>
  <si>
    <t>Package</t>
  </si>
  <si>
    <t>16-SSOP</t>
  </si>
  <si>
    <t>16-SOIC</t>
  </si>
  <si>
    <t>100Mbps</t>
  </si>
  <si>
    <t>Isolators:ISO7762_SSOP</t>
  </si>
  <si>
    <t>Isolators:ISO7762_SOIC</t>
  </si>
  <si>
    <t> 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</si>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</sst>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.com/lit/ds/symlink/iso776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8"/>
  <sheetViews>
    <sheetView tabSelected="1" topLeftCell="H1" workbookViewId="0">
      <selection activeCell="T7" sqref="T7"/>
    </sheetView>
  </sheetViews>
  <sheetFormatPr defaultRowHeight="14.5" x14ac:dyDescent="0.35"/>
  <cols>
    <col min="3" max="3" width="68.54296875" bestFit="1" customWidth="1"/>
    <col min="4" max="4" width="37.26953125" bestFit="1" customWidth="1"/>
    <col min="6" max="6" width="18" bestFit="1" customWidth="1"/>
    <col min="7" max="7" width="12.453125" bestFit="1" customWidth="1"/>
    <col min="8" max="8" width="13.08984375" bestFit="1" customWidth="1"/>
    <col min="9" max="9" width="8.90625" bestFit="1" customWidth="1"/>
    <col min="10" max="10" width="18.7265625" bestFit="1" customWidth="1"/>
    <col min="11" max="11" width="12.453125" bestFit="1" customWidth="1"/>
    <col min="12" max="12" width="8.90625" bestFit="1" customWidth="1"/>
    <col min="13" max="13" width="7.6328125" bestFit="1" customWidth="1"/>
    <col min="14" max="14" width="16.1796875" bestFit="1" customWidth="1"/>
    <col min="15" max="15" width="14.453125" customWidth="1"/>
    <col min="16" max="16" width="9.6328125" bestFit="1" customWidth="1"/>
    <col min="17" max="17" width="21.90625" bestFit="1" customWidth="1"/>
    <col min="19" max="19" width="31.6328125" bestFit="1" customWidth="1"/>
    <col min="28" max="28" width="15" bestFit="1" customWidth="1"/>
  </cols>
  <sheetData>
    <row r="1" spans="2:29" x14ac:dyDescent="0.35">
      <c r="B1" s="1" t="s">
        <v>0</v>
      </c>
      <c r="O1" s="1" t="s">
        <v>1</v>
      </c>
    </row>
    <row r="2" spans="2:29" x14ac:dyDescent="0.35">
      <c r="B2" t="s">
        <v>2</v>
      </c>
      <c r="C2">
        <f>COUNTA(C7:C9999)</f>
        <v>2</v>
      </c>
      <c r="D2">
        <f t="shared" ref="D2:U2" si="0">COUNTA(D7:D9999)</f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ref="M2" si="1">COUNTA(M7:M9999)</f>
        <v>2</v>
      </c>
      <c r="N2">
        <f t="shared" si="0"/>
        <v>2</v>
      </c>
      <c r="O2">
        <f t="shared" si="0"/>
        <v>2</v>
      </c>
      <c r="P2">
        <f t="shared" si="0"/>
        <v>2</v>
      </c>
      <c r="Q2">
        <f t="shared" si="0"/>
        <v>2</v>
      </c>
      <c r="R2">
        <f t="shared" si="0"/>
        <v>2</v>
      </c>
      <c r="S2">
        <f t="shared" si="0"/>
        <v>2</v>
      </c>
      <c r="T2">
        <f t="shared" si="0"/>
        <v>2</v>
      </c>
      <c r="U2">
        <f t="shared" si="0"/>
        <v>2</v>
      </c>
      <c r="AB2" t="s">
        <v>3</v>
      </c>
      <c r="AC2">
        <f>AVERAGE(Y7:Y9999)</f>
        <v>100</v>
      </c>
    </row>
    <row r="3" spans="2:29" x14ac:dyDescent="0.35">
      <c r="AB3" t="s">
        <v>4</v>
      </c>
      <c r="AC3">
        <f>MAX(C2:U2)</f>
        <v>2</v>
      </c>
    </row>
    <row r="4" spans="2:29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AB4" t="s">
        <v>6</v>
      </c>
      <c r="AC4">
        <f>SUM(Z7:Z9999)</f>
        <v>2</v>
      </c>
    </row>
    <row r="5" spans="2:29" x14ac:dyDescent="0.35">
      <c r="M5" t="s">
        <v>53</v>
      </c>
      <c r="AB5" t="s">
        <v>7</v>
      </c>
      <c r="AC5">
        <f>COUNTIF(Y7:Y9999,"&lt;100")</f>
        <v>0</v>
      </c>
    </row>
    <row r="6" spans="2:29" x14ac:dyDescent="0.35">
      <c r="C6" t="s">
        <v>8</v>
      </c>
      <c r="D6" t="s">
        <v>9</v>
      </c>
      <c r="E6" t="s">
        <v>30</v>
      </c>
      <c r="F6" t="s">
        <v>29</v>
      </c>
      <c r="G6" t="s">
        <v>32</v>
      </c>
      <c r="H6" t="s">
        <v>34</v>
      </c>
      <c r="I6" t="s">
        <v>37</v>
      </c>
      <c r="J6" t="s">
        <v>38</v>
      </c>
      <c r="K6" t="s">
        <v>42</v>
      </c>
      <c r="L6" t="s">
        <v>41</v>
      </c>
      <c r="M6" t="s">
        <v>46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X6" t="s">
        <v>18</v>
      </c>
      <c r="Y6" t="s">
        <v>19</v>
      </c>
      <c r="Z6" t="s">
        <v>20</v>
      </c>
    </row>
    <row r="7" spans="2:29" x14ac:dyDescent="0.35">
      <c r="C7" t="str">
        <f>_xlfn.CONCAT(E7,"Ch ",F7,"In ",G7," ",J7," ",K7," ",H7," ",L7," ",I7," ",M7," ",U7)</f>
        <v>6Ch 4/2In Unidirectional 566Vpk Reinforced 2.25-5.5v 85kV/us 100Mbps 16-SSOP  </v>
      </c>
      <c r="D7" t="str">
        <f>_xlfn.CONCAT(E7,"Ch ",F7,"In ",G7," ",I7," ",J7)</f>
        <v>6Ch 4/2In Unidirectional 100Mbps 566Vpk</v>
      </c>
      <c r="E7">
        <v>6</v>
      </c>
      <c r="F7" s="2" t="s">
        <v>31</v>
      </c>
      <c r="G7" t="s">
        <v>33</v>
      </c>
      <c r="H7" s="3" t="s">
        <v>36</v>
      </c>
      <c r="I7" s="3" t="s">
        <v>49</v>
      </c>
      <c r="J7" s="3" t="s">
        <v>39</v>
      </c>
      <c r="K7" s="3" t="s">
        <v>43</v>
      </c>
      <c r="L7" s="3" t="s">
        <v>44</v>
      </c>
      <c r="M7" s="3" t="s">
        <v>47</v>
      </c>
      <c r="N7" t="s">
        <v>26</v>
      </c>
      <c r="O7" t="s">
        <v>23</v>
      </c>
      <c r="P7" t="s">
        <v>22</v>
      </c>
      <c r="Q7" t="s">
        <v>27</v>
      </c>
      <c r="R7" s="4" t="s">
        <v>35</v>
      </c>
      <c r="S7" t="s">
        <v>45</v>
      </c>
      <c r="T7" t="s">
        <v>50</v>
      </c>
      <c r="U7" t="s">
        <v>52</v>
      </c>
      <c r="X7">
        <f>COUNTBLANK(C7:U7)</f>
        <v>0</v>
      </c>
      <c r="Y7">
        <f>100*COUNTA(C7:U7)/$AC$7</f>
        <v>100</v>
      </c>
      <c r="Z7">
        <f>IF(Y7=100,1,0)</f>
        <v>1</v>
      </c>
      <c r="AB7" t="s">
        <v>21</v>
      </c>
      <c r="AC7">
        <f>SUM(C4:U4)</f>
        <v>19</v>
      </c>
    </row>
    <row r="8" spans="2:29" x14ac:dyDescent="0.35">
      <c r="C8" t="str">
        <f>_xlfn.CONCAT(E8,"Ch ",F8,"In ",G8," ",J8," ",K8," ",H8," ",L8," ",I8," ",M8," ",U8)</f>
        <v>6Ch 4/2In Unidirectional 2121Vpk Reinforced 2.25-5.5v 85kV/us 100Mbps 16-SOIC  </v>
      </c>
      <c r="D8" t="str">
        <f>_xlfn.CONCAT(E8,"Ch ",F8,"In ",G8," ",I8," ",J8)</f>
        <v>6Ch 4/2In Unidirectional 100Mbps 2121Vpk</v>
      </c>
      <c r="E8">
        <v>6</v>
      </c>
      <c r="F8" s="3" t="s">
        <v>31</v>
      </c>
      <c r="G8" t="s">
        <v>33</v>
      </c>
      <c r="H8" s="3" t="s">
        <v>36</v>
      </c>
      <c r="I8" s="3" t="s">
        <v>49</v>
      </c>
      <c r="J8" s="3" t="s">
        <v>40</v>
      </c>
      <c r="K8" s="3" t="s">
        <v>43</v>
      </c>
      <c r="L8" s="3" t="s">
        <v>44</v>
      </c>
      <c r="M8" s="3" t="s">
        <v>48</v>
      </c>
      <c r="N8" t="s">
        <v>26</v>
      </c>
      <c r="O8" t="s">
        <v>24</v>
      </c>
      <c r="P8" t="s">
        <v>22</v>
      </c>
      <c r="Q8" t="s">
        <v>28</v>
      </c>
      <c r="R8" t="s">
        <v>25</v>
      </c>
      <c r="S8" t="s">
        <v>45</v>
      </c>
      <c r="T8" t="s">
        <v>51</v>
      </c>
      <c r="U8" t="s">
        <v>52</v>
      </c>
      <c r="X8">
        <f>COUNTBLANK(C8:U8)</f>
        <v>0</v>
      </c>
      <c r="Y8">
        <f>100*COUNTA(C8:U8)/$AC$7</f>
        <v>100</v>
      </c>
      <c r="Z8">
        <f>IF(Y8=100,1,0)</f>
        <v>1</v>
      </c>
    </row>
  </sheetData>
  <conditionalFormatting sqref="C7:U93">
    <cfRule type="containsBlanks" dxfId="0" priority="1">
      <formula>LEN(TRIM(C7))=0</formula>
    </cfRule>
  </conditionalFormatting>
  <hyperlinks>
    <hyperlink ref="R7" r:id="rId1" xr:uid="{16F65F37-A741-436F-8543-3403B77A4D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2025-10-20T18:57:59Z</dcterms:modified>
</cp:coreProperties>
</file>