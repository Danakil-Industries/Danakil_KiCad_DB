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9D328C44-17FE-4C36-95E9-EFEDB8C9A0E8}" xr6:coauthVersionLast="47" xr6:coauthVersionMax="47" xr10:uidLastSave="{00000000-0000-0000-0000-000000000000}"/>
  <bookViews>
    <workbookView xWindow="42240" yWindow="975" windowWidth="192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" i="1" l="1"/>
  <c r="S37" i="1"/>
  <c r="T37" i="1" s="1"/>
  <c r="R36" i="1"/>
  <c r="S36" i="1"/>
  <c r="T36" i="1" s="1"/>
  <c r="R35" i="1"/>
  <c r="S35" i="1"/>
  <c r="T35" i="1" s="1"/>
  <c r="R34" i="1"/>
  <c r="S34" i="1"/>
  <c r="T34" i="1" s="1"/>
  <c r="R33" i="1"/>
  <c r="S33" i="1"/>
  <c r="T33" i="1" s="1"/>
  <c r="R32" i="1"/>
  <c r="S32" i="1"/>
  <c r="T32" i="1" s="1"/>
  <c r="R31" i="1"/>
  <c r="S31" i="1"/>
  <c r="T31" i="1" s="1"/>
  <c r="C28" i="1"/>
  <c r="S28" i="1" s="1"/>
  <c r="T28" i="1" s="1"/>
  <c r="C29" i="1"/>
  <c r="S29" i="1" s="1"/>
  <c r="T29" i="1" s="1"/>
  <c r="C30" i="1"/>
  <c r="R30" i="1" s="1"/>
  <c r="C31" i="1"/>
  <c r="C32" i="1"/>
  <c r="C33" i="1"/>
  <c r="C34" i="1"/>
  <c r="C35" i="1"/>
  <c r="C36" i="1"/>
  <c r="C37" i="1"/>
  <c r="C27" i="1"/>
  <c r="S27" i="1" s="1"/>
  <c r="T27" i="1" s="1"/>
  <c r="C26" i="1"/>
  <c r="C25" i="1"/>
  <c r="R25" i="1" s="1"/>
  <c r="C24" i="1"/>
  <c r="S24" i="1" s="1"/>
  <c r="T24" i="1" s="1"/>
  <c r="C23" i="1"/>
  <c r="C22" i="1"/>
  <c r="R22" i="1" s="1"/>
  <c r="C21" i="1"/>
  <c r="R21" i="1" s="1"/>
  <c r="C20" i="1"/>
  <c r="C19" i="1"/>
  <c r="S19" i="1" s="1"/>
  <c r="T19" i="1" s="1"/>
  <c r="C18" i="1"/>
  <c r="R18" i="1" s="1"/>
  <c r="C9" i="1"/>
  <c r="R9" i="1" s="1"/>
  <c r="C10" i="1"/>
  <c r="R10" i="1" s="1"/>
  <c r="C11" i="1"/>
  <c r="S11" i="1" s="1"/>
  <c r="T11" i="1" s="1"/>
  <c r="C12" i="1"/>
  <c r="R12" i="1" s="1"/>
  <c r="C13" i="1"/>
  <c r="R13" i="1" s="1"/>
  <c r="C14" i="1"/>
  <c r="R14" i="1" s="1"/>
  <c r="C15" i="1"/>
  <c r="C16" i="1"/>
  <c r="C17" i="1"/>
  <c r="R17" i="1" s="1"/>
  <c r="C8" i="1"/>
  <c r="R8" i="1" s="1"/>
  <c r="S10" i="1"/>
  <c r="T10" i="1" s="1"/>
  <c r="S14" i="1"/>
  <c r="T14" i="1" s="1"/>
  <c r="R15" i="1"/>
  <c r="S15" i="1"/>
  <c r="T15" i="1" s="1"/>
  <c r="R16" i="1"/>
  <c r="S16" i="1"/>
  <c r="T16" i="1" s="1"/>
  <c r="R20" i="1"/>
  <c r="S20" i="1"/>
  <c r="T20" i="1" s="1"/>
  <c r="R23" i="1"/>
  <c r="S23" i="1"/>
  <c r="T23" i="1" s="1"/>
  <c r="R26" i="1"/>
  <c r="S26" i="1"/>
  <c r="T26" i="1" s="1"/>
  <c r="S7" i="1"/>
  <c r="W7" i="1"/>
  <c r="E2" i="1"/>
  <c r="F2" i="1"/>
  <c r="C7" i="1"/>
  <c r="D7" i="1"/>
  <c r="S30" i="1" l="1"/>
  <c r="T30" i="1" s="1"/>
  <c r="R29" i="1"/>
  <c r="R28" i="1"/>
  <c r="R27" i="1"/>
  <c r="S25" i="1"/>
  <c r="T25" i="1" s="1"/>
  <c r="R24" i="1"/>
  <c r="S22" i="1"/>
  <c r="T22" i="1" s="1"/>
  <c r="S21" i="1"/>
  <c r="T21" i="1" s="1"/>
  <c r="R19" i="1"/>
  <c r="S18" i="1"/>
  <c r="T18" i="1" s="1"/>
  <c r="S17" i="1"/>
  <c r="T17" i="1" s="1"/>
  <c r="S9" i="1"/>
  <c r="T9" i="1" s="1"/>
  <c r="R11" i="1"/>
  <c r="S12" i="1"/>
  <c r="T12" i="1" s="1"/>
  <c r="S13" i="1"/>
  <c r="T13" i="1" s="1"/>
  <c r="S8" i="1"/>
  <c r="T8" i="1" s="1"/>
  <c r="O2" i="1"/>
  <c r="R7" i="1"/>
  <c r="D2" i="1"/>
  <c r="G2" i="1"/>
  <c r="H2" i="1"/>
  <c r="I2" i="1"/>
  <c r="J2" i="1"/>
  <c r="K2" i="1"/>
  <c r="L2" i="1"/>
  <c r="M2" i="1"/>
  <c r="N2" i="1"/>
  <c r="C2" i="1"/>
  <c r="W3" i="1" l="1"/>
  <c r="W5" i="1"/>
  <c r="W2" i="1"/>
  <c r="T7" i="1"/>
  <c r="W4" i="1" s="1"/>
</calcChain>
</file>

<file path=xl/sharedStrings.xml><?xml version="1.0" encoding="utf-8"?>
<sst xmlns="http://schemas.openxmlformats.org/spreadsheetml/2006/main" count="363" uniqueCount="116">
  <si>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</si>
  <si>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</si>
  <si>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</si>
  <si>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</si>
  <si>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</si>
  <si>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</si>
  <si>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</si>
  <si>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</si>
  <si>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</si>
  <si>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</si>
  <si>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</si>
  <si>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</si>
  <si>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</si>
  <si>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</si>
  <si>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</si>
  <si>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</si>
  <si>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</si>
  <si>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</si>
  <si>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</si>
  <si>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No BOM</t>
  </si>
  <si>
    <t>Type</t>
  </si>
  <si>
    <t>Color</t>
  </si>
  <si>
    <t>NA</t>
  </si>
  <si>
    <t>Scope_Probe</t>
  </si>
  <si>
    <t> </t>
  </si>
  <si>
    <t>Test Points:Scope_Probe</t>
  </si>
  <si>
    <t>Distributor PN</t>
  </si>
  <si>
    <t>Loop_TH</t>
  </si>
  <si>
    <t>Keystone Electronics</t>
  </si>
  <si>
    <t>Digikey</t>
  </si>
  <si>
    <t>36-5001-ND</t>
  </si>
  <si>
    <t>Black</t>
  </si>
  <si>
    <t>https://www.keyelco.com/userAssets/file/M65p56.pdf</t>
  </si>
  <si>
    <t>Mini</t>
  </si>
  <si>
    <t>White</t>
  </si>
  <si>
    <t>Red</t>
  </si>
  <si>
    <t>Orange</t>
  </si>
  <si>
    <t>Yellow</t>
  </si>
  <si>
    <t>Blue</t>
  </si>
  <si>
    <t>Green</t>
  </si>
  <si>
    <t>Gray</t>
  </si>
  <si>
    <t>Purple</t>
  </si>
  <si>
    <t>Brown</t>
  </si>
  <si>
    <t>Compact</t>
  </si>
  <si>
    <t>Multipurpose</t>
  </si>
  <si>
    <t>36-5011-ND</t>
  </si>
  <si>
    <t>36-5010-ND</t>
  </si>
  <si>
    <t>36-5012-ND</t>
  </si>
  <si>
    <t>36-5014-ND</t>
  </si>
  <si>
    <t>36-5013-ND</t>
  </si>
  <si>
    <t>36-5126-ND</t>
  </si>
  <si>
    <t>36-5127-ND</t>
  </si>
  <si>
    <t>36-5128-ND</t>
  </si>
  <si>
    <t>36-5125-ND</t>
  </si>
  <si>
    <t>36-5129-ND</t>
  </si>
  <si>
    <t>36-5006-ND</t>
  </si>
  <si>
    <t>36-5005-ND</t>
  </si>
  <si>
    <t>36-5007-ND</t>
  </si>
  <si>
    <t>36-5009-ND</t>
  </si>
  <si>
    <t>36-5120-ND</t>
  </si>
  <si>
    <t>36-5122-ND</t>
  </si>
  <si>
    <t>36-5008-ND</t>
  </si>
  <si>
    <t>36-5124-ND</t>
  </si>
  <si>
    <t>36-5276-ND</t>
  </si>
  <si>
    <t>36-5123-ND</t>
  </si>
  <si>
    <t>36-5002-ND</t>
  </si>
  <si>
    <t>36-5000-ND</t>
  </si>
  <si>
    <t>36-5003-ND</t>
  </si>
  <si>
    <t>36-5004-ND</t>
  </si>
  <si>
    <t>36-5117-ND</t>
  </si>
  <si>
    <t>36-5116-ND</t>
  </si>
  <si>
    <t>36-5118-ND</t>
  </si>
  <si>
    <t>36-5119-ND</t>
  </si>
  <si>
    <t>36-5115-ND</t>
  </si>
  <si>
    <t>3dm gotten</t>
  </si>
  <si>
    <t>Test Points:5002</t>
  </si>
  <si>
    <t>Test Points:5003</t>
  </si>
  <si>
    <t>Test Points:5117</t>
  </si>
  <si>
    <t>Test Points:5116</t>
  </si>
  <si>
    <t>Test Points:5118</t>
  </si>
  <si>
    <t>Test Points:5006</t>
  </si>
  <si>
    <t>Test Points:5005</t>
  </si>
  <si>
    <t>Test Points:5009</t>
  </si>
  <si>
    <t>Test Points:5011</t>
  </si>
  <si>
    <t>Test Points:5014</t>
  </si>
  <si>
    <t>Test Points:5013</t>
  </si>
  <si>
    <t>Test Points:5126</t>
  </si>
  <si>
    <t>Test Points:5128</t>
  </si>
  <si>
    <t>Test Points:5007</t>
  </si>
  <si>
    <t>3dm made</t>
  </si>
  <si>
    <t>Test Points:5000</t>
  </si>
  <si>
    <t>Test Points:5004</t>
  </si>
  <si>
    <t>Test Points:5119</t>
  </si>
  <si>
    <t>Test Points:5115</t>
  </si>
  <si>
    <t>Test Points:5001</t>
  </si>
  <si>
    <t>Test Points:5122</t>
  </si>
  <si>
    <t>Test Points:5276</t>
  </si>
  <si>
    <t>Test Points:5123</t>
  </si>
  <si>
    <t>Test Points:5129</t>
  </si>
  <si>
    <t>Test Points:5120</t>
  </si>
  <si>
    <t>Test Points:5008</t>
  </si>
  <si>
    <t>Test Points:5124</t>
  </si>
  <si>
    <t>Test Points:5010</t>
  </si>
  <si>
    <t>Test Points: 5127</t>
  </si>
  <si>
    <t>Test Points: 5125</t>
  </si>
  <si>
    <t>0Dan_Test Points:Scope_Probe</t>
  </si>
  <si>
    <t>0Dan_Test Points:TP_Black</t>
  </si>
  <si>
    <t>0Dan_Test Points:TP_White</t>
  </si>
  <si>
    <t>0Dan_Test Points:TP_Red</t>
  </si>
  <si>
    <t>0Dan_Test Points:TP_Orange</t>
  </si>
  <si>
    <t>0Dan_Test Points:TP_Yellow</t>
  </si>
  <si>
    <t>0Dan_Test Points:TP_Blue</t>
  </si>
  <si>
    <t>0Dan_Test Points:TP_Green</t>
  </si>
  <si>
    <t>0Dan_Test Points:TP_Gray</t>
  </si>
  <si>
    <t>0Dan_Test Points:TP_Purple</t>
  </si>
  <si>
    <t>0Dan_Test Points:TP_Brown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</si>
</sst>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topLeftCell="B1" workbookViewId="0">
      <selection activeCell="O37" sqref="C7:O37"/>
    </sheetView>
  </sheetViews>
  <sheetFormatPr defaultRowHeight="14.5" x14ac:dyDescent="0.35"/>
  <cols>
    <col min="3" max="3" width="18.36328125" bestFit="1" customWidth="1"/>
    <col min="4" max="4" width="12.08984375" bestFit="1" customWidth="1"/>
    <col min="5" max="5" width="13.1796875" bestFit="1" customWidth="1"/>
    <col min="9" max="9" width="9.6328125" bestFit="1" customWidth="1"/>
    <col min="10" max="10" width="12.08984375" bestFit="1" customWidth="1"/>
    <col min="12" max="12" width="27.54296875" bestFit="1" customWidth="1"/>
    <col min="13" max="13" width="21.453125" bestFit="1" customWidth="1"/>
    <col min="22" max="22" width="15" bestFit="1" customWidth="1"/>
  </cols>
  <sheetData>
    <row r="1" spans="1:23" x14ac:dyDescent="0.35">
      <c r="B1" s="1"/>
      <c r="H1" s="1"/>
    </row>
    <row r="2" spans="1:23" x14ac:dyDescent="0.35">
      <c r="B2" t="s">
        <v>0</v>
      </c>
      <c r="C2">
        <f>COUNTA(C7:C9999)</f>
        <v>31</v>
      </c>
      <c r="D2">
        <f t="shared" ref="D2:N2" si="0">COUNTA(D7:D9999)</f>
        <v>31</v>
      </c>
      <c r="E2">
        <f>COUNTA(E7:E9999)</f>
        <v>31</v>
      </c>
      <c r="F2">
        <f t="shared" ref="F2" si="1">COUNTA(F7:F9999)</f>
        <v>31</v>
      </c>
      <c r="G2">
        <f t="shared" si="0"/>
        <v>31</v>
      </c>
      <c r="H2">
        <f t="shared" si="0"/>
        <v>31</v>
      </c>
      <c r="I2">
        <f t="shared" si="0"/>
        <v>31</v>
      </c>
      <c r="J2">
        <f t="shared" si="0"/>
        <v>31</v>
      </c>
      <c r="K2">
        <f t="shared" si="0"/>
        <v>31</v>
      </c>
      <c r="L2">
        <f t="shared" si="0"/>
        <v>31</v>
      </c>
      <c r="M2">
        <f t="shared" si="0"/>
        <v>31</v>
      </c>
      <c r="N2">
        <f t="shared" si="0"/>
        <v>31</v>
      </c>
      <c r="O2">
        <f t="shared" ref="O2" si="2">COUNTA(O7:O9999)</f>
        <v>31</v>
      </c>
      <c r="V2" t="s">
        <v>1</v>
      </c>
      <c r="W2">
        <f>AVERAGE(S7:S9999)</f>
        <v>100</v>
      </c>
    </row>
    <row r="3" spans="1:23" x14ac:dyDescent="0.35">
      <c r="V3" t="s">
        <v>2</v>
      </c>
      <c r="W3">
        <f>MAX(C2:O2)</f>
        <v>31</v>
      </c>
    </row>
    <row r="4" spans="1:23" x14ac:dyDescent="0.35">
      <c r="B4" t="s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V4" t="s">
        <v>4</v>
      </c>
      <c r="W4">
        <f>SUM(T7:T9999)</f>
        <v>31</v>
      </c>
    </row>
    <row r="5" spans="1:23" x14ac:dyDescent="0.35">
      <c r="P5" s="2"/>
      <c r="V5" t="s">
        <v>5</v>
      </c>
      <c r="W5">
        <f>COUNTIF(S7:S9999,"&lt;100")</f>
        <v>0</v>
      </c>
    </row>
    <row r="6" spans="1:23" x14ac:dyDescent="0.35">
      <c r="C6" t="s">
        <v>6</v>
      </c>
      <c r="D6" t="s">
        <v>7</v>
      </c>
      <c r="E6" t="s">
        <v>20</v>
      </c>
      <c r="F6" t="s">
        <v>21</v>
      </c>
      <c r="G6" t="s">
        <v>8</v>
      </c>
      <c r="H6" t="s">
        <v>9</v>
      </c>
      <c r="I6" t="s">
        <v>10</v>
      </c>
      <c r="J6" t="s">
        <v>26</v>
      </c>
      <c r="K6" t="s">
        <v>11</v>
      </c>
      <c r="L6" t="s">
        <v>12</v>
      </c>
      <c r="M6" t="s">
        <v>13</v>
      </c>
      <c r="N6" t="s">
        <v>19</v>
      </c>
      <c r="O6" t="s">
        <v>14</v>
      </c>
      <c r="R6" t="s">
        <v>15</v>
      </c>
      <c r="S6" t="s">
        <v>16</v>
      </c>
      <c r="T6" t="s">
        <v>17</v>
      </c>
    </row>
    <row r="7" spans="1:23" x14ac:dyDescent="0.35">
      <c r="C7" t="str">
        <f>D7</f>
        <v>Scope_Probe</v>
      </c>
      <c r="D7" t="str">
        <f>IF(F7="NA",E7,_xlfn.CONCAT(E7," ",F7))</f>
        <v>Scope_Probe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105</v>
      </c>
      <c r="M7" t="s">
        <v>25</v>
      </c>
      <c r="N7" t="b">
        <v>1</v>
      </c>
      <c r="O7" t="s">
        <v>24</v>
      </c>
      <c r="R7">
        <f>COUNTBLANK(C7:N7)</f>
        <v>0</v>
      </c>
      <c r="S7">
        <f>100*COUNTA(C7:O7)/$W$7</f>
        <v>100</v>
      </c>
      <c r="T7">
        <f>IF(S7=100,1,0)</f>
        <v>1</v>
      </c>
      <c r="V7" t="s">
        <v>18</v>
      </c>
      <c r="W7">
        <f>SUM(C4:O4)</f>
        <v>13</v>
      </c>
    </row>
    <row r="8" spans="1:23" x14ac:dyDescent="0.35">
      <c r="A8" s="2"/>
      <c r="C8" t="str">
        <f>_xlfn.CONCAT(D8,"_",F8)</f>
        <v>Mini_Black</v>
      </c>
      <c r="D8" t="s">
        <v>33</v>
      </c>
      <c r="E8" t="s">
        <v>27</v>
      </c>
      <c r="F8" t="s">
        <v>31</v>
      </c>
      <c r="G8" t="s">
        <v>28</v>
      </c>
      <c r="H8">
        <v>5001</v>
      </c>
      <c r="I8" t="s">
        <v>29</v>
      </c>
      <c r="J8" t="s">
        <v>30</v>
      </c>
      <c r="K8" t="s">
        <v>32</v>
      </c>
      <c r="L8" t="s">
        <v>106</v>
      </c>
      <c r="M8" t="s">
        <v>94</v>
      </c>
      <c r="N8" t="b">
        <v>0</v>
      </c>
      <c r="O8" t="s">
        <v>24</v>
      </c>
      <c r="P8" t="s">
        <v>89</v>
      </c>
      <c r="R8">
        <f t="shared" ref="R8:R27" si="3">COUNTBLANK(C8:N8)</f>
        <v>0</v>
      </c>
      <c r="S8">
        <f t="shared" ref="S8:S27" si="4">100*COUNTA(C8:O8)/$W$7</f>
        <v>100</v>
      </c>
      <c r="T8">
        <f t="shared" ref="T8:T37" si="5">IF(S8=100,1,0)</f>
        <v>1</v>
      </c>
    </row>
    <row r="9" spans="1:23" x14ac:dyDescent="0.35">
      <c r="C9" t="str">
        <f t="shared" ref="C9:C37" si="6">_xlfn.CONCAT(D9,"_",F9)</f>
        <v>Mini_White</v>
      </c>
      <c r="D9" t="s">
        <v>33</v>
      </c>
      <c r="E9" t="s">
        <v>27</v>
      </c>
      <c r="F9" t="s">
        <v>34</v>
      </c>
      <c r="G9" t="s">
        <v>28</v>
      </c>
      <c r="H9">
        <v>5002</v>
      </c>
      <c r="I9" t="s">
        <v>29</v>
      </c>
      <c r="J9" t="s">
        <v>65</v>
      </c>
      <c r="K9" t="s">
        <v>32</v>
      </c>
      <c r="L9" t="s">
        <v>107</v>
      </c>
      <c r="M9" t="s">
        <v>75</v>
      </c>
      <c r="N9" t="b">
        <v>0</v>
      </c>
      <c r="O9" t="s">
        <v>24</v>
      </c>
      <c r="P9" t="s">
        <v>74</v>
      </c>
      <c r="R9">
        <f t="shared" si="3"/>
        <v>0</v>
      </c>
      <c r="S9">
        <f t="shared" si="4"/>
        <v>100</v>
      </c>
      <c r="T9">
        <f t="shared" si="5"/>
        <v>1</v>
      </c>
    </row>
    <row r="10" spans="1:23" x14ac:dyDescent="0.35">
      <c r="C10" t="str">
        <f t="shared" si="6"/>
        <v>Mini_Red</v>
      </c>
      <c r="D10" t="s">
        <v>33</v>
      </c>
      <c r="E10" t="s">
        <v>27</v>
      </c>
      <c r="F10" t="s">
        <v>35</v>
      </c>
      <c r="G10" t="s">
        <v>28</v>
      </c>
      <c r="H10">
        <v>5000</v>
      </c>
      <c r="I10" t="s">
        <v>29</v>
      </c>
      <c r="J10" t="s">
        <v>66</v>
      </c>
      <c r="K10" t="s">
        <v>32</v>
      </c>
      <c r="L10" t="s">
        <v>108</v>
      </c>
      <c r="M10" t="s">
        <v>90</v>
      </c>
      <c r="N10" t="b">
        <v>0</v>
      </c>
      <c r="O10" t="s">
        <v>24</v>
      </c>
      <c r="P10" t="s">
        <v>89</v>
      </c>
      <c r="R10">
        <f t="shared" si="3"/>
        <v>0</v>
      </c>
      <c r="S10">
        <f t="shared" si="4"/>
        <v>100</v>
      </c>
      <c r="T10">
        <f t="shared" si="5"/>
        <v>1</v>
      </c>
    </row>
    <row r="11" spans="1:23" x14ac:dyDescent="0.35">
      <c r="C11" t="str">
        <f t="shared" si="6"/>
        <v>Mini_Orange</v>
      </c>
      <c r="D11" t="s">
        <v>33</v>
      </c>
      <c r="E11" t="s">
        <v>27</v>
      </c>
      <c r="F11" t="s">
        <v>36</v>
      </c>
      <c r="G11" t="s">
        <v>28</v>
      </c>
      <c r="H11">
        <v>5003</v>
      </c>
      <c r="I11" t="s">
        <v>29</v>
      </c>
      <c r="J11" t="s">
        <v>67</v>
      </c>
      <c r="K11" t="s">
        <v>32</v>
      </c>
      <c r="L11" t="s">
        <v>109</v>
      </c>
      <c r="M11" t="s">
        <v>76</v>
      </c>
      <c r="N11" t="b">
        <v>0</v>
      </c>
      <c r="O11" t="s">
        <v>24</v>
      </c>
      <c r="P11" t="s">
        <v>74</v>
      </c>
      <c r="R11">
        <f t="shared" si="3"/>
        <v>0</v>
      </c>
      <c r="S11">
        <f t="shared" si="4"/>
        <v>100</v>
      </c>
      <c r="T11">
        <f t="shared" si="5"/>
        <v>1</v>
      </c>
    </row>
    <row r="12" spans="1:23" x14ac:dyDescent="0.35">
      <c r="C12" t="str">
        <f t="shared" si="6"/>
        <v>Mini_Yellow</v>
      </c>
      <c r="D12" t="s">
        <v>33</v>
      </c>
      <c r="E12" t="s">
        <v>27</v>
      </c>
      <c r="F12" t="s">
        <v>37</v>
      </c>
      <c r="G12" t="s">
        <v>28</v>
      </c>
      <c r="H12">
        <v>5004</v>
      </c>
      <c r="I12" t="s">
        <v>29</v>
      </c>
      <c r="J12" t="s">
        <v>68</v>
      </c>
      <c r="K12" t="s">
        <v>32</v>
      </c>
      <c r="L12" t="s">
        <v>110</v>
      </c>
      <c r="M12" t="s">
        <v>91</v>
      </c>
      <c r="N12" t="b">
        <v>0</v>
      </c>
      <c r="O12" t="s">
        <v>24</v>
      </c>
      <c r="P12" t="s">
        <v>89</v>
      </c>
      <c r="R12">
        <f t="shared" si="3"/>
        <v>0</v>
      </c>
      <c r="S12">
        <f t="shared" si="4"/>
        <v>100</v>
      </c>
      <c r="T12">
        <f t="shared" si="5"/>
        <v>1</v>
      </c>
    </row>
    <row r="13" spans="1:23" x14ac:dyDescent="0.35">
      <c r="C13" t="str">
        <f t="shared" si="6"/>
        <v>Mini_Blue</v>
      </c>
      <c r="D13" t="s">
        <v>33</v>
      </c>
      <c r="E13" t="s">
        <v>27</v>
      </c>
      <c r="F13" t="s">
        <v>38</v>
      </c>
      <c r="G13" t="s">
        <v>28</v>
      </c>
      <c r="H13">
        <v>5117</v>
      </c>
      <c r="I13" t="s">
        <v>29</v>
      </c>
      <c r="J13" t="s">
        <v>69</v>
      </c>
      <c r="K13" t="s">
        <v>32</v>
      </c>
      <c r="L13" t="s">
        <v>111</v>
      </c>
      <c r="M13" t="s">
        <v>77</v>
      </c>
      <c r="N13" t="b">
        <v>0</v>
      </c>
      <c r="O13" t="s">
        <v>24</v>
      </c>
      <c r="P13" t="s">
        <v>74</v>
      </c>
      <c r="R13">
        <f t="shared" si="3"/>
        <v>0</v>
      </c>
      <c r="S13">
        <f t="shared" si="4"/>
        <v>100</v>
      </c>
      <c r="T13">
        <f t="shared" si="5"/>
        <v>1</v>
      </c>
    </row>
    <row r="14" spans="1:23" x14ac:dyDescent="0.35">
      <c r="C14" t="str">
        <f t="shared" si="6"/>
        <v>Mini_Green</v>
      </c>
      <c r="D14" t="s">
        <v>33</v>
      </c>
      <c r="E14" t="s">
        <v>27</v>
      </c>
      <c r="F14" t="s">
        <v>39</v>
      </c>
      <c r="G14" t="s">
        <v>28</v>
      </c>
      <c r="H14">
        <v>5116</v>
      </c>
      <c r="I14" t="s">
        <v>29</v>
      </c>
      <c r="J14" t="s">
        <v>70</v>
      </c>
      <c r="K14" t="s">
        <v>32</v>
      </c>
      <c r="L14" t="s">
        <v>112</v>
      </c>
      <c r="M14" t="s">
        <v>78</v>
      </c>
      <c r="N14" t="b">
        <v>0</v>
      </c>
      <c r="O14" t="s">
        <v>24</v>
      </c>
      <c r="P14" t="s">
        <v>74</v>
      </c>
      <c r="R14">
        <f t="shared" si="3"/>
        <v>0</v>
      </c>
      <c r="S14">
        <f t="shared" si="4"/>
        <v>100</v>
      </c>
      <c r="T14">
        <f t="shared" si="5"/>
        <v>1</v>
      </c>
    </row>
    <row r="15" spans="1:23" x14ac:dyDescent="0.35">
      <c r="C15" t="str">
        <f t="shared" si="6"/>
        <v>Mini_Gray</v>
      </c>
      <c r="D15" t="s">
        <v>33</v>
      </c>
      <c r="E15" t="s">
        <v>27</v>
      </c>
      <c r="F15" t="s">
        <v>40</v>
      </c>
      <c r="G15" t="s">
        <v>28</v>
      </c>
      <c r="H15">
        <v>5118</v>
      </c>
      <c r="I15" t="s">
        <v>29</v>
      </c>
      <c r="J15" t="s">
        <v>71</v>
      </c>
      <c r="K15" t="s">
        <v>32</v>
      </c>
      <c r="L15" t="s">
        <v>113</v>
      </c>
      <c r="M15" t="s">
        <v>79</v>
      </c>
      <c r="N15" t="b">
        <v>0</v>
      </c>
      <c r="O15" t="s">
        <v>24</v>
      </c>
      <c r="P15" t="s">
        <v>74</v>
      </c>
      <c r="R15">
        <f t="shared" si="3"/>
        <v>0</v>
      </c>
      <c r="S15">
        <f t="shared" si="4"/>
        <v>100</v>
      </c>
      <c r="T15">
        <f t="shared" si="5"/>
        <v>1</v>
      </c>
    </row>
    <row r="16" spans="1:23" x14ac:dyDescent="0.35">
      <c r="C16" t="str">
        <f t="shared" si="6"/>
        <v>Mini_Purple</v>
      </c>
      <c r="D16" t="s">
        <v>33</v>
      </c>
      <c r="E16" t="s">
        <v>27</v>
      </c>
      <c r="F16" t="s">
        <v>41</v>
      </c>
      <c r="G16" t="s">
        <v>28</v>
      </c>
      <c r="H16">
        <v>5119</v>
      </c>
      <c r="I16" t="s">
        <v>29</v>
      </c>
      <c r="J16" t="s">
        <v>72</v>
      </c>
      <c r="K16" t="s">
        <v>32</v>
      </c>
      <c r="L16" t="s">
        <v>114</v>
      </c>
      <c r="M16" t="s">
        <v>92</v>
      </c>
      <c r="N16" t="b">
        <v>0</v>
      </c>
      <c r="O16" t="s">
        <v>24</v>
      </c>
      <c r="P16" t="s">
        <v>74</v>
      </c>
      <c r="R16">
        <f t="shared" si="3"/>
        <v>0</v>
      </c>
      <c r="S16">
        <f t="shared" si="4"/>
        <v>100</v>
      </c>
      <c r="T16">
        <f t="shared" si="5"/>
        <v>1</v>
      </c>
    </row>
    <row r="17" spans="1:20" x14ac:dyDescent="0.35">
      <c r="C17" t="str">
        <f t="shared" si="6"/>
        <v>Mini_Brown</v>
      </c>
      <c r="D17" t="s">
        <v>33</v>
      </c>
      <c r="E17" t="s">
        <v>27</v>
      </c>
      <c r="F17" t="s">
        <v>42</v>
      </c>
      <c r="G17" t="s">
        <v>28</v>
      </c>
      <c r="H17">
        <v>5115</v>
      </c>
      <c r="I17" t="s">
        <v>29</v>
      </c>
      <c r="J17" t="s">
        <v>73</v>
      </c>
      <c r="K17" t="s">
        <v>32</v>
      </c>
      <c r="L17" t="s">
        <v>115</v>
      </c>
      <c r="M17" t="s">
        <v>93</v>
      </c>
      <c r="N17" t="b">
        <v>0</v>
      </c>
      <c r="O17" t="s">
        <v>24</v>
      </c>
      <c r="P17" t="s">
        <v>74</v>
      </c>
      <c r="R17">
        <f t="shared" si="3"/>
        <v>0</v>
      </c>
      <c r="S17">
        <f t="shared" si="4"/>
        <v>100</v>
      </c>
      <c r="T17">
        <f t="shared" si="5"/>
        <v>1</v>
      </c>
    </row>
    <row r="18" spans="1:20" x14ac:dyDescent="0.35">
      <c r="A18" s="2"/>
      <c r="C18" t="str">
        <f t="shared" si="6"/>
        <v>Compact_Black</v>
      </c>
      <c r="D18" t="s">
        <v>43</v>
      </c>
      <c r="E18" t="s">
        <v>27</v>
      </c>
      <c r="F18" t="s">
        <v>31</v>
      </c>
      <c r="G18" t="s">
        <v>28</v>
      </c>
      <c r="H18">
        <v>5006</v>
      </c>
      <c r="I18" t="s">
        <v>29</v>
      </c>
      <c r="J18" t="s">
        <v>55</v>
      </c>
      <c r="K18" t="s">
        <v>32</v>
      </c>
      <c r="L18" t="s">
        <v>106</v>
      </c>
      <c r="M18" t="s">
        <v>80</v>
      </c>
      <c r="N18" t="b">
        <v>0</v>
      </c>
      <c r="O18" t="s">
        <v>24</v>
      </c>
      <c r="P18" t="s">
        <v>74</v>
      </c>
      <c r="R18">
        <f t="shared" si="3"/>
        <v>0</v>
      </c>
      <c r="S18">
        <f t="shared" si="4"/>
        <v>100</v>
      </c>
      <c r="T18">
        <f t="shared" si="5"/>
        <v>1</v>
      </c>
    </row>
    <row r="19" spans="1:20" x14ac:dyDescent="0.35">
      <c r="C19" t="str">
        <f t="shared" si="6"/>
        <v>Compact_Red</v>
      </c>
      <c r="D19" t="s">
        <v>43</v>
      </c>
      <c r="E19" t="s">
        <v>27</v>
      </c>
      <c r="F19" t="s">
        <v>35</v>
      </c>
      <c r="G19" t="s">
        <v>28</v>
      </c>
      <c r="H19">
        <v>5005</v>
      </c>
      <c r="I19" t="s">
        <v>29</v>
      </c>
      <c r="J19" t="s">
        <v>56</v>
      </c>
      <c r="K19" t="s">
        <v>32</v>
      </c>
      <c r="L19" t="s">
        <v>108</v>
      </c>
      <c r="M19" t="s">
        <v>81</v>
      </c>
      <c r="N19" t="b">
        <v>0</v>
      </c>
      <c r="O19" t="s">
        <v>24</v>
      </c>
      <c r="P19" t="s">
        <v>74</v>
      </c>
      <c r="R19">
        <f t="shared" si="3"/>
        <v>0</v>
      </c>
      <c r="S19">
        <f t="shared" si="4"/>
        <v>100</v>
      </c>
      <c r="T19">
        <f t="shared" si="5"/>
        <v>1</v>
      </c>
    </row>
    <row r="20" spans="1:20" x14ac:dyDescent="0.35">
      <c r="C20" t="str">
        <f t="shared" si="6"/>
        <v>Compact_White</v>
      </c>
      <c r="D20" t="s">
        <v>43</v>
      </c>
      <c r="E20" t="s">
        <v>27</v>
      </c>
      <c r="F20" t="s">
        <v>34</v>
      </c>
      <c r="G20" t="s">
        <v>28</v>
      </c>
      <c r="H20">
        <v>5007</v>
      </c>
      <c r="I20" t="s">
        <v>29</v>
      </c>
      <c r="J20" t="s">
        <v>57</v>
      </c>
      <c r="K20" t="s">
        <v>32</v>
      </c>
      <c r="L20" t="s">
        <v>107</v>
      </c>
      <c r="M20" t="s">
        <v>88</v>
      </c>
      <c r="N20" t="b">
        <v>0</v>
      </c>
      <c r="O20" t="s">
        <v>24</v>
      </c>
      <c r="P20" t="s">
        <v>89</v>
      </c>
      <c r="R20">
        <f t="shared" si="3"/>
        <v>0</v>
      </c>
      <c r="S20">
        <f t="shared" si="4"/>
        <v>100</v>
      </c>
      <c r="T20">
        <f t="shared" si="5"/>
        <v>1</v>
      </c>
    </row>
    <row r="21" spans="1:20" x14ac:dyDescent="0.35">
      <c r="C21" t="str">
        <f t="shared" si="6"/>
        <v>Compact_Yellow</v>
      </c>
      <c r="D21" t="s">
        <v>43</v>
      </c>
      <c r="E21" t="s">
        <v>27</v>
      </c>
      <c r="F21" t="s">
        <v>37</v>
      </c>
      <c r="G21" t="s">
        <v>28</v>
      </c>
      <c r="H21">
        <v>5009</v>
      </c>
      <c r="I21" t="s">
        <v>29</v>
      </c>
      <c r="J21" t="s">
        <v>58</v>
      </c>
      <c r="K21" t="s">
        <v>32</v>
      </c>
      <c r="L21" t="s">
        <v>110</v>
      </c>
      <c r="M21" t="s">
        <v>82</v>
      </c>
      <c r="N21" t="b">
        <v>0</v>
      </c>
      <c r="O21" t="s">
        <v>24</v>
      </c>
      <c r="P21" t="s">
        <v>74</v>
      </c>
      <c r="R21">
        <f t="shared" si="3"/>
        <v>0</v>
      </c>
      <c r="S21">
        <f t="shared" si="4"/>
        <v>100</v>
      </c>
      <c r="T21">
        <f t="shared" si="5"/>
        <v>1</v>
      </c>
    </row>
    <row r="22" spans="1:20" x14ac:dyDescent="0.35">
      <c r="C22" t="str">
        <f t="shared" si="6"/>
        <v>Compact_Brown</v>
      </c>
      <c r="D22" t="s">
        <v>43</v>
      </c>
      <c r="E22" t="s">
        <v>27</v>
      </c>
      <c r="F22" t="s">
        <v>42</v>
      </c>
      <c r="G22" t="s">
        <v>28</v>
      </c>
      <c r="H22">
        <v>5120</v>
      </c>
      <c r="I22" t="s">
        <v>29</v>
      </c>
      <c r="J22" t="s">
        <v>59</v>
      </c>
      <c r="K22" t="s">
        <v>32</v>
      </c>
      <c r="L22" t="s">
        <v>115</v>
      </c>
      <c r="M22" t="s">
        <v>99</v>
      </c>
      <c r="N22" t="b">
        <v>0</v>
      </c>
      <c r="O22" t="s">
        <v>24</v>
      </c>
      <c r="P22" t="s">
        <v>89</v>
      </c>
      <c r="R22">
        <f t="shared" si="3"/>
        <v>0</v>
      </c>
      <c r="S22">
        <f t="shared" si="4"/>
        <v>100</v>
      </c>
      <c r="T22">
        <f t="shared" si="5"/>
        <v>1</v>
      </c>
    </row>
    <row r="23" spans="1:20" x14ac:dyDescent="0.35">
      <c r="C23" t="str">
        <f t="shared" si="6"/>
        <v>Compact_Blue</v>
      </c>
      <c r="D23" t="s">
        <v>43</v>
      </c>
      <c r="E23" t="s">
        <v>27</v>
      </c>
      <c r="F23" t="s">
        <v>38</v>
      </c>
      <c r="G23" t="s">
        <v>28</v>
      </c>
      <c r="H23">
        <v>5122</v>
      </c>
      <c r="I23" t="s">
        <v>29</v>
      </c>
      <c r="J23" t="s">
        <v>60</v>
      </c>
      <c r="K23" t="s">
        <v>32</v>
      </c>
      <c r="L23" t="s">
        <v>111</v>
      </c>
      <c r="M23" t="s">
        <v>95</v>
      </c>
      <c r="N23" t="b">
        <v>0</v>
      </c>
      <c r="O23" t="s">
        <v>24</v>
      </c>
      <c r="P23" t="s">
        <v>74</v>
      </c>
      <c r="R23">
        <f t="shared" si="3"/>
        <v>0</v>
      </c>
      <c r="S23">
        <f t="shared" si="4"/>
        <v>100</v>
      </c>
      <c r="T23">
        <f t="shared" si="5"/>
        <v>1</v>
      </c>
    </row>
    <row r="24" spans="1:20" x14ac:dyDescent="0.35">
      <c r="C24" t="str">
        <f t="shared" si="6"/>
        <v>Compact_Orange</v>
      </c>
      <c r="D24" t="s">
        <v>43</v>
      </c>
      <c r="E24" t="s">
        <v>27</v>
      </c>
      <c r="F24" t="s">
        <v>36</v>
      </c>
      <c r="G24" t="s">
        <v>28</v>
      </c>
      <c r="H24">
        <v>5008</v>
      </c>
      <c r="I24" t="s">
        <v>29</v>
      </c>
      <c r="J24" t="s">
        <v>61</v>
      </c>
      <c r="K24" t="s">
        <v>32</v>
      </c>
      <c r="L24" t="s">
        <v>109</v>
      </c>
      <c r="M24" t="s">
        <v>100</v>
      </c>
      <c r="N24" t="b">
        <v>0</v>
      </c>
      <c r="O24" t="s">
        <v>24</v>
      </c>
      <c r="P24" t="s">
        <v>89</v>
      </c>
      <c r="R24">
        <f t="shared" si="3"/>
        <v>0</v>
      </c>
      <c r="S24">
        <f t="shared" si="4"/>
        <v>100</v>
      </c>
      <c r="T24">
        <f t="shared" si="5"/>
        <v>1</v>
      </c>
    </row>
    <row r="25" spans="1:20" x14ac:dyDescent="0.35">
      <c r="C25" t="str">
        <f t="shared" si="6"/>
        <v>Compact_Purple</v>
      </c>
      <c r="D25" t="s">
        <v>43</v>
      </c>
      <c r="E25" t="s">
        <v>27</v>
      </c>
      <c r="F25" t="s">
        <v>41</v>
      </c>
      <c r="G25" t="s">
        <v>28</v>
      </c>
      <c r="H25">
        <v>5124</v>
      </c>
      <c r="I25" t="s">
        <v>29</v>
      </c>
      <c r="J25" t="s">
        <v>62</v>
      </c>
      <c r="K25" t="s">
        <v>32</v>
      </c>
      <c r="L25" t="s">
        <v>114</v>
      </c>
      <c r="M25" t="s">
        <v>101</v>
      </c>
      <c r="N25" t="b">
        <v>0</v>
      </c>
      <c r="O25" t="s">
        <v>24</v>
      </c>
      <c r="P25" t="s">
        <v>89</v>
      </c>
      <c r="R25">
        <f t="shared" si="3"/>
        <v>0</v>
      </c>
      <c r="S25">
        <f t="shared" si="4"/>
        <v>100</v>
      </c>
      <c r="T25">
        <f t="shared" si="5"/>
        <v>1</v>
      </c>
    </row>
    <row r="26" spans="1:20" x14ac:dyDescent="0.35">
      <c r="C26" t="str">
        <f t="shared" si="6"/>
        <v>Compact_Green</v>
      </c>
      <c r="D26" t="s">
        <v>43</v>
      </c>
      <c r="E26" t="s">
        <v>27</v>
      </c>
      <c r="F26" t="s">
        <v>39</v>
      </c>
      <c r="G26" t="s">
        <v>28</v>
      </c>
      <c r="H26">
        <v>5276</v>
      </c>
      <c r="I26" t="s">
        <v>29</v>
      </c>
      <c r="J26" t="s">
        <v>63</v>
      </c>
      <c r="K26" t="s">
        <v>32</v>
      </c>
      <c r="L26" t="s">
        <v>112</v>
      </c>
      <c r="M26" t="s">
        <v>96</v>
      </c>
      <c r="N26" t="b">
        <v>0</v>
      </c>
      <c r="O26" t="s">
        <v>24</v>
      </c>
      <c r="P26" t="s">
        <v>74</v>
      </c>
      <c r="R26">
        <f t="shared" si="3"/>
        <v>0</v>
      </c>
      <c r="S26">
        <f t="shared" si="4"/>
        <v>100</v>
      </c>
      <c r="T26">
        <f t="shared" si="5"/>
        <v>1</v>
      </c>
    </row>
    <row r="27" spans="1:20" x14ac:dyDescent="0.35">
      <c r="C27" t="str">
        <f t="shared" si="6"/>
        <v>Compact_Gray</v>
      </c>
      <c r="D27" t="s">
        <v>43</v>
      </c>
      <c r="E27" t="s">
        <v>27</v>
      </c>
      <c r="F27" t="s">
        <v>40</v>
      </c>
      <c r="G27" t="s">
        <v>28</v>
      </c>
      <c r="H27">
        <v>5123</v>
      </c>
      <c r="I27" t="s">
        <v>29</v>
      </c>
      <c r="J27" t="s">
        <v>64</v>
      </c>
      <c r="K27" t="s">
        <v>32</v>
      </c>
      <c r="L27" t="s">
        <v>113</v>
      </c>
      <c r="M27" t="s">
        <v>97</v>
      </c>
      <c r="N27" t="b">
        <v>0</v>
      </c>
      <c r="O27" t="s">
        <v>24</v>
      </c>
      <c r="P27" t="s">
        <v>74</v>
      </c>
      <c r="R27">
        <f t="shared" si="3"/>
        <v>0</v>
      </c>
      <c r="S27">
        <f t="shared" si="4"/>
        <v>100</v>
      </c>
      <c r="T27">
        <f t="shared" si="5"/>
        <v>1</v>
      </c>
    </row>
    <row r="28" spans="1:20" x14ac:dyDescent="0.35">
      <c r="A28" s="2"/>
      <c r="C28" t="str">
        <f t="shared" si="6"/>
        <v>Multipurpose_Black</v>
      </c>
      <c r="D28" t="s">
        <v>44</v>
      </c>
      <c r="E28" t="s">
        <v>27</v>
      </c>
      <c r="F28" t="s">
        <v>31</v>
      </c>
      <c r="G28" t="s">
        <v>28</v>
      </c>
      <c r="H28">
        <v>5011</v>
      </c>
      <c r="I28" t="s">
        <v>29</v>
      </c>
      <c r="J28" t="s">
        <v>45</v>
      </c>
      <c r="K28" t="s">
        <v>32</v>
      </c>
      <c r="L28" t="s">
        <v>106</v>
      </c>
      <c r="M28" t="s">
        <v>83</v>
      </c>
      <c r="N28" t="b">
        <v>0</v>
      </c>
      <c r="O28" t="s">
        <v>24</v>
      </c>
      <c r="P28" t="s">
        <v>74</v>
      </c>
      <c r="R28">
        <f>COUNTBLANK(C28:N28)</f>
        <v>0</v>
      </c>
      <c r="S28">
        <f>100*COUNTA(C28:O28)/$W$7</f>
        <v>100</v>
      </c>
      <c r="T28">
        <f>IF(S28=100,1,0)</f>
        <v>1</v>
      </c>
    </row>
    <row r="29" spans="1:20" x14ac:dyDescent="0.35">
      <c r="C29" t="str">
        <f t="shared" si="6"/>
        <v>Multipurpose_Red</v>
      </c>
      <c r="D29" t="s">
        <v>44</v>
      </c>
      <c r="E29" t="s">
        <v>27</v>
      </c>
      <c r="F29" t="s">
        <v>35</v>
      </c>
      <c r="G29" t="s">
        <v>28</v>
      </c>
      <c r="H29">
        <v>5010</v>
      </c>
      <c r="I29" t="s">
        <v>29</v>
      </c>
      <c r="J29" t="s">
        <v>46</v>
      </c>
      <c r="K29" t="s">
        <v>32</v>
      </c>
      <c r="L29" t="s">
        <v>108</v>
      </c>
      <c r="M29" t="s">
        <v>102</v>
      </c>
      <c r="N29" t="b">
        <v>0</v>
      </c>
      <c r="O29" t="s">
        <v>24</v>
      </c>
      <c r="P29" t="s">
        <v>89</v>
      </c>
      <c r="R29">
        <f t="shared" ref="R29:R37" si="7">COUNTBLANK(C29:N29)</f>
        <v>0</v>
      </c>
      <c r="S29">
        <f t="shared" ref="S29:S37" si="8">100*COUNTA(C29:O29)/$W$7</f>
        <v>100</v>
      </c>
      <c r="T29">
        <f t="shared" si="5"/>
        <v>1</v>
      </c>
    </row>
    <row r="30" spans="1:20" x14ac:dyDescent="0.35">
      <c r="C30" t="str">
        <f t="shared" si="6"/>
        <v>Multipurpose_White</v>
      </c>
      <c r="D30" t="s">
        <v>44</v>
      </c>
      <c r="E30" t="s">
        <v>27</v>
      </c>
      <c r="F30" t="s">
        <v>34</v>
      </c>
      <c r="G30" t="s">
        <v>28</v>
      </c>
      <c r="H30">
        <v>5012</v>
      </c>
      <c r="I30" t="s">
        <v>29</v>
      </c>
      <c r="J30" t="s">
        <v>47</v>
      </c>
      <c r="K30" t="s">
        <v>32</v>
      </c>
      <c r="L30" t="s">
        <v>107</v>
      </c>
      <c r="M30" t="s">
        <v>102</v>
      </c>
      <c r="N30" t="b">
        <v>0</v>
      </c>
      <c r="O30" t="s">
        <v>24</v>
      </c>
      <c r="P30" t="s">
        <v>89</v>
      </c>
      <c r="R30">
        <f t="shared" si="7"/>
        <v>0</v>
      </c>
      <c r="S30">
        <f t="shared" si="8"/>
        <v>100</v>
      </c>
      <c r="T30">
        <f t="shared" si="5"/>
        <v>1</v>
      </c>
    </row>
    <row r="31" spans="1:20" x14ac:dyDescent="0.35">
      <c r="C31" t="str">
        <f t="shared" si="6"/>
        <v>Multipurpose_Yellow</v>
      </c>
      <c r="D31" t="s">
        <v>44</v>
      </c>
      <c r="E31" t="s">
        <v>27</v>
      </c>
      <c r="F31" t="s">
        <v>37</v>
      </c>
      <c r="G31" t="s">
        <v>28</v>
      </c>
      <c r="H31">
        <v>5014</v>
      </c>
      <c r="I31" t="s">
        <v>29</v>
      </c>
      <c r="J31" t="s">
        <v>48</v>
      </c>
      <c r="K31" t="s">
        <v>32</v>
      </c>
      <c r="L31" t="s">
        <v>110</v>
      </c>
      <c r="M31" t="s">
        <v>84</v>
      </c>
      <c r="N31" t="b">
        <v>0</v>
      </c>
      <c r="O31" t="s">
        <v>24</v>
      </c>
      <c r="P31" t="s">
        <v>74</v>
      </c>
      <c r="R31">
        <f t="shared" si="7"/>
        <v>0</v>
      </c>
      <c r="S31">
        <f t="shared" si="8"/>
        <v>100</v>
      </c>
      <c r="T31">
        <f t="shared" si="5"/>
        <v>1</v>
      </c>
    </row>
    <row r="32" spans="1:20" x14ac:dyDescent="0.35">
      <c r="C32" t="str">
        <f t="shared" si="6"/>
        <v>Multipurpose_Orange</v>
      </c>
      <c r="D32" t="s">
        <v>44</v>
      </c>
      <c r="E32" t="s">
        <v>27</v>
      </c>
      <c r="F32" t="s">
        <v>36</v>
      </c>
      <c r="G32" t="s">
        <v>28</v>
      </c>
      <c r="H32">
        <v>5013</v>
      </c>
      <c r="I32" t="s">
        <v>29</v>
      </c>
      <c r="J32" t="s">
        <v>49</v>
      </c>
      <c r="K32" t="s">
        <v>32</v>
      </c>
      <c r="L32" t="s">
        <v>109</v>
      </c>
      <c r="M32" t="s">
        <v>85</v>
      </c>
      <c r="N32" t="b">
        <v>0</v>
      </c>
      <c r="O32" t="s">
        <v>24</v>
      </c>
      <c r="P32" t="s">
        <v>74</v>
      </c>
      <c r="R32">
        <f t="shared" si="7"/>
        <v>0</v>
      </c>
      <c r="S32">
        <f t="shared" si="8"/>
        <v>100</v>
      </c>
      <c r="T32">
        <f t="shared" si="5"/>
        <v>1</v>
      </c>
    </row>
    <row r="33" spans="3:20" x14ac:dyDescent="0.35">
      <c r="C33" t="str">
        <f t="shared" si="6"/>
        <v>Multipurpose_Green</v>
      </c>
      <c r="D33" t="s">
        <v>44</v>
      </c>
      <c r="E33" t="s">
        <v>27</v>
      </c>
      <c r="F33" t="s">
        <v>39</v>
      </c>
      <c r="G33" t="s">
        <v>28</v>
      </c>
      <c r="H33">
        <v>5126</v>
      </c>
      <c r="I33" t="s">
        <v>29</v>
      </c>
      <c r="J33" t="s">
        <v>50</v>
      </c>
      <c r="K33" t="s">
        <v>32</v>
      </c>
      <c r="L33" t="s">
        <v>112</v>
      </c>
      <c r="M33" t="s">
        <v>86</v>
      </c>
      <c r="N33" t="b">
        <v>0</v>
      </c>
      <c r="O33" t="s">
        <v>24</v>
      </c>
      <c r="P33" t="s">
        <v>74</v>
      </c>
      <c r="R33">
        <f t="shared" si="7"/>
        <v>0</v>
      </c>
      <c r="S33">
        <f t="shared" si="8"/>
        <v>100</v>
      </c>
      <c r="T33">
        <f t="shared" si="5"/>
        <v>1</v>
      </c>
    </row>
    <row r="34" spans="3:20" x14ac:dyDescent="0.35">
      <c r="C34" t="str">
        <f t="shared" si="6"/>
        <v>Multipurpose_Blue</v>
      </c>
      <c r="D34" t="s">
        <v>44</v>
      </c>
      <c r="E34" t="s">
        <v>27</v>
      </c>
      <c r="F34" t="s">
        <v>38</v>
      </c>
      <c r="G34" t="s">
        <v>28</v>
      </c>
      <c r="H34">
        <v>5127</v>
      </c>
      <c r="I34" t="s">
        <v>29</v>
      </c>
      <c r="J34" t="s">
        <v>51</v>
      </c>
      <c r="K34" t="s">
        <v>32</v>
      </c>
      <c r="L34" t="s">
        <v>111</v>
      </c>
      <c r="M34" t="s">
        <v>103</v>
      </c>
      <c r="N34" t="b">
        <v>0</v>
      </c>
      <c r="O34" t="s">
        <v>24</v>
      </c>
      <c r="P34" t="s">
        <v>89</v>
      </c>
      <c r="R34">
        <f t="shared" si="7"/>
        <v>0</v>
      </c>
      <c r="S34">
        <f t="shared" si="8"/>
        <v>100</v>
      </c>
      <c r="T34">
        <f t="shared" si="5"/>
        <v>1</v>
      </c>
    </row>
    <row r="35" spans="3:20" x14ac:dyDescent="0.35">
      <c r="C35" t="str">
        <f t="shared" si="6"/>
        <v>Multipurpose_Gray</v>
      </c>
      <c r="D35" t="s">
        <v>44</v>
      </c>
      <c r="E35" t="s">
        <v>27</v>
      </c>
      <c r="F35" t="s">
        <v>40</v>
      </c>
      <c r="G35" t="s">
        <v>28</v>
      </c>
      <c r="H35">
        <v>5128</v>
      </c>
      <c r="I35" t="s">
        <v>29</v>
      </c>
      <c r="J35" t="s">
        <v>52</v>
      </c>
      <c r="K35" t="s">
        <v>32</v>
      </c>
      <c r="L35" t="s">
        <v>113</v>
      </c>
      <c r="M35" t="s">
        <v>87</v>
      </c>
      <c r="N35" t="b">
        <v>0</v>
      </c>
      <c r="O35" t="s">
        <v>24</v>
      </c>
      <c r="P35" t="s">
        <v>74</v>
      </c>
      <c r="R35">
        <f t="shared" si="7"/>
        <v>0</v>
      </c>
      <c r="S35">
        <f t="shared" si="8"/>
        <v>100</v>
      </c>
      <c r="T35">
        <f t="shared" si="5"/>
        <v>1</v>
      </c>
    </row>
    <row r="36" spans="3:20" x14ac:dyDescent="0.35">
      <c r="C36" t="str">
        <f t="shared" si="6"/>
        <v>Multipurpose_Brown</v>
      </c>
      <c r="D36" t="s">
        <v>44</v>
      </c>
      <c r="E36" t="s">
        <v>27</v>
      </c>
      <c r="F36" t="s">
        <v>42</v>
      </c>
      <c r="G36" t="s">
        <v>28</v>
      </c>
      <c r="H36">
        <v>5125</v>
      </c>
      <c r="I36" t="s">
        <v>29</v>
      </c>
      <c r="J36" t="s">
        <v>53</v>
      </c>
      <c r="K36" t="s">
        <v>32</v>
      </c>
      <c r="L36" t="s">
        <v>115</v>
      </c>
      <c r="M36" t="s">
        <v>104</v>
      </c>
      <c r="N36" t="b">
        <v>0</v>
      </c>
      <c r="O36" t="s">
        <v>24</v>
      </c>
      <c r="P36" t="s">
        <v>89</v>
      </c>
      <c r="R36">
        <f t="shared" si="7"/>
        <v>0</v>
      </c>
      <c r="S36">
        <f t="shared" si="8"/>
        <v>100</v>
      </c>
      <c r="T36">
        <f t="shared" si="5"/>
        <v>1</v>
      </c>
    </row>
    <row r="37" spans="3:20" x14ac:dyDescent="0.35">
      <c r="C37" t="str">
        <f t="shared" si="6"/>
        <v>Multipurpose_Purple</v>
      </c>
      <c r="D37" t="s">
        <v>44</v>
      </c>
      <c r="E37" t="s">
        <v>27</v>
      </c>
      <c r="F37" t="s">
        <v>41</v>
      </c>
      <c r="G37" t="s">
        <v>28</v>
      </c>
      <c r="H37">
        <v>5129</v>
      </c>
      <c r="I37" t="s">
        <v>29</v>
      </c>
      <c r="J37" t="s">
        <v>54</v>
      </c>
      <c r="K37" t="s">
        <v>32</v>
      </c>
      <c r="L37" t="s">
        <v>114</v>
      </c>
      <c r="M37" t="s">
        <v>98</v>
      </c>
      <c r="N37" t="b">
        <v>0</v>
      </c>
      <c r="O37" t="s">
        <v>24</v>
      </c>
      <c r="P37" t="s">
        <v>74</v>
      </c>
      <c r="R37">
        <f t="shared" si="7"/>
        <v>0</v>
      </c>
      <c r="S37">
        <f t="shared" si="8"/>
        <v>100</v>
      </c>
      <c r="T37">
        <f t="shared" si="5"/>
        <v>1</v>
      </c>
    </row>
  </sheetData>
  <phoneticPr fontId="3" type="noConversion"/>
  <conditionalFormatting sqref="C7:O155">
    <cfRule type="containsBlanks" dxfId="0" priority="1">
      <formula>LEN(TRIM(C7))=0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2025-10-20T15:20:42Z</dcterms:modified>
</cp:coreProperties>
</file>