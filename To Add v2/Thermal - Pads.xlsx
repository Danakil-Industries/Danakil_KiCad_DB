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Github\Danakil_KiCad_DB\To Add v2\"/>
    </mc:Choice>
  </mc:AlternateContent>
  <xr:revisionPtr revIDLastSave="0" documentId="13_ncr:1_{9C5DD295-1DB1-4076-A817-8E87D5595FA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C7" i="1"/>
  <c r="C2" i="1" s="1"/>
  <c r="E2" i="1"/>
  <c r="F2" i="1"/>
  <c r="G2" i="1"/>
  <c r="H2" i="1"/>
  <c r="S7" i="1"/>
  <c r="X7" i="1"/>
  <c r="D2" i="1"/>
  <c r="I2" i="1"/>
  <c r="J2" i="1"/>
  <c r="K2" i="1"/>
  <c r="L2" i="1"/>
  <c r="M2" i="1"/>
  <c r="N2" i="1"/>
  <c r="O2" i="1"/>
  <c r="P2" i="1"/>
  <c r="T7" i="1" l="1"/>
  <c r="X3" i="1"/>
  <c r="X2" i="1"/>
  <c r="X5" i="1"/>
  <c r="U7" i="1"/>
  <c r="X4" i="1" s="1"/>
</calcChain>
</file>

<file path=xl/sharedStrings.xml><?xml version="1.0" encoding="utf-8"?>
<sst xmlns="http://schemas.openxmlformats.org/spreadsheetml/2006/main" count="35" uniqueCount="35">
  <si>
    <t>Totals</t>
  </si>
  <si>
    <t>% Completed</t>
  </si>
  <si>
    <t>Entries</t>
  </si>
  <si>
    <t>DB Param</t>
  </si>
  <si>
    <t>Total Complete</t>
  </si>
  <si>
    <t>Total Incomplete</t>
  </si>
  <si>
    <t>Name</t>
  </si>
  <si>
    <t>Value</t>
  </si>
  <si>
    <t>MFG</t>
  </si>
  <si>
    <t>MFG PN</t>
  </si>
  <si>
    <t>Distributor</t>
  </si>
  <si>
    <t>Distributor Pn</t>
  </si>
  <si>
    <t>Datasheet</t>
  </si>
  <si>
    <t>Symbol</t>
  </si>
  <si>
    <t>Footprint</t>
  </si>
  <si>
    <t>Comment</t>
  </si>
  <si>
    <t>Blanks</t>
  </si>
  <si>
    <t>% Filled</t>
  </si>
  <si>
    <t>Complete?</t>
  </si>
  <si>
    <t>DB Params</t>
  </si>
  <si>
    <t>Digikey</t>
  </si>
  <si>
    <t>Outline</t>
  </si>
  <si>
    <t>Thickness</t>
  </si>
  <si>
    <t>Thermal Conductivity (W/m-K)</t>
  </si>
  <si>
    <t>Material</t>
  </si>
  <si>
    <t>20mmx20mm</t>
  </si>
  <si>
    <t>1mm</t>
  </si>
  <si>
    <t>Silicone</t>
  </si>
  <si>
    <t>t-Global Technology</t>
  </si>
  <si>
    <t>TG-A1780-20-20-1.0</t>
  </si>
  <si>
    <t>1168-TG-A1780-20-20-1.0-ND</t>
  </si>
  <si>
    <t>https://www.tglobaltechnology.com/wp-content/uploads/2023/08/TG-A1780_UK.pdf</t>
  </si>
  <si>
    <t>0Dan_Thermal:Thermal Pad</t>
  </si>
  <si>
    <t>Thermals:Pad_20x20mm</t>
  </si>
  <si>
    <t>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</si>
</sst>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/>
    <xf numFmtId="49" fontId="0" fillId="0" borderId="1" xfId="0" applyNumberFormat="1" applyBorder="1"/>
    <xf numFmtId="49" fontId="0" fillId="0" borderId="0" xfId="0" applyNumberFormat="1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7"/>
  <sheetViews>
    <sheetView tabSelected="1" topLeftCell="E1" workbookViewId="0">
      <selection activeCell="G7" sqref="G7"/>
    </sheetView>
  </sheetViews>
  <sheetFormatPr defaultRowHeight="14.5" x14ac:dyDescent="0.35"/>
  <cols>
    <col min="3" max="3" width="35.54296875" bestFit="1" customWidth="1"/>
    <col min="4" max="4" width="27.7265625" bestFit="1" customWidth="1"/>
    <col min="7" max="7" width="11.08984375" bestFit="1" customWidth="1"/>
    <col min="11" max="11" width="9.6328125" bestFit="1" customWidth="1"/>
    <col min="12" max="12" width="12.08984375" bestFit="1" customWidth="1"/>
    <col min="23" max="23" width="15" bestFit="1" customWidth="1"/>
  </cols>
  <sheetData>
    <row r="1" spans="2:24" x14ac:dyDescent="0.35">
      <c r="B1" s="1"/>
      <c r="J1" s="1"/>
    </row>
    <row r="2" spans="2:24" x14ac:dyDescent="0.35">
      <c r="B2" t="s">
        <v>0</v>
      </c>
      <c r="C2">
        <f>COUNTA(C7:C9999)</f>
        <v>1</v>
      </c>
      <c r="D2">
        <f t="shared" ref="D2:P2" si="0">COUNTA(D7:D9999)</f>
        <v>1</v>
      </c>
      <c r="E2">
        <f t="shared" si="0"/>
        <v>1</v>
      </c>
      <c r="F2">
        <f t="shared" ref="F2:H2" si="1">COUNTA(F7:F9999)</f>
        <v>1</v>
      </c>
      <c r="G2">
        <f t="shared" si="1"/>
        <v>1</v>
      </c>
      <c r="H2">
        <f t="shared" si="1"/>
        <v>1</v>
      </c>
      <c r="I2">
        <f t="shared" si="0"/>
        <v>1</v>
      </c>
      <c r="J2">
        <f t="shared" si="0"/>
        <v>1</v>
      </c>
      <c r="K2">
        <f t="shared" si="0"/>
        <v>1</v>
      </c>
      <c r="L2">
        <f t="shared" si="0"/>
        <v>1</v>
      </c>
      <c r="M2">
        <f t="shared" si="0"/>
        <v>1</v>
      </c>
      <c r="N2">
        <f t="shared" si="0"/>
        <v>1</v>
      </c>
      <c r="O2">
        <f t="shared" si="0"/>
        <v>1</v>
      </c>
      <c r="P2">
        <f t="shared" si="0"/>
        <v>1</v>
      </c>
      <c r="W2" t="s">
        <v>1</v>
      </c>
      <c r="X2">
        <f>AVERAGE(T7:T9999)</f>
        <v>100</v>
      </c>
    </row>
    <row r="3" spans="2:24" x14ac:dyDescent="0.35">
      <c r="W3" t="s">
        <v>2</v>
      </c>
      <c r="X3">
        <f>MAX(C2:P2)</f>
        <v>1</v>
      </c>
    </row>
    <row r="4" spans="2:24" x14ac:dyDescent="0.35">
      <c r="B4" t="s">
        <v>3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W4" t="s">
        <v>4</v>
      </c>
      <c r="X4">
        <f>SUM(U7:U9999)</f>
        <v>1</v>
      </c>
    </row>
    <row r="5" spans="2:24" x14ac:dyDescent="0.35">
      <c r="W5" t="s">
        <v>5</v>
      </c>
      <c r="X5">
        <f>COUNTIF(T7:T9999,"&lt;100")</f>
        <v>0</v>
      </c>
    </row>
    <row r="6" spans="2:24" ht="43.5" x14ac:dyDescent="0.35">
      <c r="C6" s="2" t="s">
        <v>6</v>
      </c>
      <c r="D6" s="2" t="s">
        <v>7</v>
      </c>
      <c r="E6" s="2" t="s">
        <v>21</v>
      </c>
      <c r="F6" s="2" t="s">
        <v>22</v>
      </c>
      <c r="G6" s="5" t="s">
        <v>23</v>
      </c>
      <c r="H6" s="2" t="s">
        <v>24</v>
      </c>
      <c r="I6" s="2" t="s">
        <v>8</v>
      </c>
      <c r="J6" s="3" t="s">
        <v>9</v>
      </c>
      <c r="K6" s="2" t="s">
        <v>10</v>
      </c>
      <c r="L6" s="2" t="s">
        <v>11</v>
      </c>
      <c r="M6" s="2" t="s">
        <v>12</v>
      </c>
      <c r="N6" s="2" t="s">
        <v>13</v>
      </c>
      <c r="O6" s="2" t="s">
        <v>14</v>
      </c>
      <c r="P6" s="2" t="s">
        <v>15</v>
      </c>
      <c r="S6" t="s">
        <v>16</v>
      </c>
      <c r="T6" t="s">
        <v>17</v>
      </c>
      <c r="U6" t="s">
        <v>18</v>
      </c>
    </row>
    <row r="7" spans="2:24" x14ac:dyDescent="0.35">
      <c r="C7" t="str">
        <f>_xlfn.CONCAT(D7," ",H7," ",P7)</f>
        <v>20mmx20mmx1mm 17.8W/m-K Silicone  </v>
      </c>
      <c r="D7" t="str">
        <f>_xlfn.CONCAT(E7,"x",F7," ",G7,"W/m-K")</f>
        <v>20mmx20mmx1mm 17.8W/m-K</v>
      </c>
      <c r="E7" t="s">
        <v>25</v>
      </c>
      <c r="F7" t="s">
        <v>26</v>
      </c>
      <c r="G7">
        <v>17.8</v>
      </c>
      <c r="H7" t="s">
        <v>27</v>
      </c>
      <c r="I7" t="s">
        <v>28</v>
      </c>
      <c r="J7" s="4" t="s">
        <v>29</v>
      </c>
      <c r="K7" t="s">
        <v>20</v>
      </c>
      <c r="L7" t="s">
        <v>30</v>
      </c>
      <c r="M7" t="s">
        <v>31</v>
      </c>
      <c r="N7" t="s">
        <v>32</v>
      </c>
      <c r="O7" t="s">
        <v>33</v>
      </c>
      <c r="P7" t="s">
        <v>34</v>
      </c>
      <c r="S7">
        <f>COUNTBLANK(C7:P7)</f>
        <v>0</v>
      </c>
      <c r="T7">
        <f>100*COUNTA(C7:P7)/$X$7</f>
        <v>100</v>
      </c>
      <c r="U7">
        <f>IF(T7=100,1,0)</f>
        <v>1</v>
      </c>
      <c r="W7" t="s">
        <v>19</v>
      </c>
      <c r="X7">
        <f>SUM(C4:P4)</f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Wiens</dc:creator>
  <cp:lastModifiedBy>Wiens, Gary</cp:lastModifiedBy>
  <dcterms:created xsi:type="dcterms:W3CDTF">2015-06-05T18:17:20Z</dcterms:created>
  <dcterms:modified xsi:type="dcterms:W3CDTF">2025-10-21T15:05:44Z</dcterms:modified>
</cp:coreProperties>
</file>