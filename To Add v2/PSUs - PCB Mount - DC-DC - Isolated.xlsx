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0B7B5E10-B245-4018-A493-D6F7E0BD51B4}" xr6:coauthVersionLast="47" xr6:coauthVersionMax="47" xr10:uidLastSave="{00000000-0000-0000-0000-000000000000}"/>
  <bookViews>
    <workbookView xWindow="38280" yWindow="772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" i="1" l="1"/>
  <c r="X8" i="1"/>
  <c r="Y8" i="1" s="1"/>
  <c r="C8" i="1"/>
  <c r="D8" i="1"/>
  <c r="C7" i="1"/>
  <c r="D7" i="1"/>
  <c r="J2" i="1"/>
  <c r="K2" i="1"/>
  <c r="E2" i="1"/>
  <c r="F2" i="1"/>
  <c r="G2" i="1"/>
  <c r="H2" i="1"/>
  <c r="I2" i="1"/>
  <c r="L2" i="1"/>
  <c r="AB7" i="1"/>
  <c r="M2" i="1"/>
  <c r="N2" i="1"/>
  <c r="O2" i="1"/>
  <c r="P2" i="1"/>
  <c r="Q2" i="1"/>
  <c r="R2" i="1"/>
  <c r="S2" i="1"/>
  <c r="T2" i="1"/>
  <c r="C2" i="1" l="1"/>
  <c r="W7" i="1"/>
  <c r="X7" i="1"/>
  <c r="AB2" i="1" s="1"/>
  <c r="D2" i="1"/>
  <c r="AB5" i="1"/>
  <c r="Y7" i="1" l="1"/>
  <c r="AB4" i="1" s="1"/>
  <c r="AB3" i="1"/>
</calcChain>
</file>

<file path=xl/sharedStrings.xml><?xml version="1.0" encoding="utf-8"?>
<sst xmlns="http://schemas.openxmlformats.org/spreadsheetml/2006/main" count="60" uniqueCount="55">
  <si>
    <t>Remember to modify the Kicad DBL!!!</t>
  </si>
  <si>
    <t>Remember to add to the database!!!</t>
  </si>
  <si>
    <t>Totals</t>
  </si>
  <si>
    <t>% Completed</t>
  </si>
  <si>
    <t>Entries</t>
  </si>
  <si>
    <t>DB Param</t>
  </si>
  <si>
    <t>Total Complete</t>
  </si>
  <si>
    <t>Total Incomplete</t>
  </si>
  <si>
    <t>Name</t>
  </si>
  <si>
    <t>Value</t>
  </si>
  <si>
    <t>MFG</t>
  </si>
  <si>
    <t>MFG PN</t>
  </si>
  <si>
    <t>Distributor</t>
  </si>
  <si>
    <t>Distributor Pn</t>
  </si>
  <si>
    <t>Datasheet</t>
  </si>
  <si>
    <t>Symbol</t>
  </si>
  <si>
    <t>Footprint</t>
  </si>
  <si>
    <t>Comment</t>
  </si>
  <si>
    <t>Blanks</t>
  </si>
  <si>
    <t>% Filled</t>
  </si>
  <si>
    <t>Complete?</t>
  </si>
  <si>
    <t>DB Params</t>
  </si>
  <si>
    <t>Digikey</t>
  </si>
  <si>
    <t>Vout</t>
  </si>
  <si>
    <t>Vin</t>
  </si>
  <si>
    <t>Iout</t>
  </si>
  <si>
    <t>Isolation Working Voltage</t>
  </si>
  <si>
    <t>Mounting Type</t>
  </si>
  <si>
    <t>Isolation Capacitance</t>
  </si>
  <si>
    <t>Fsw</t>
  </si>
  <si>
    <t>R05C1TF05S-R</t>
  </si>
  <si>
    <t>Recom Power</t>
  </si>
  <si>
    <t>945-R05C1TF05S-RCT-ND</t>
  </si>
  <si>
    <t>https://recom-power.com/pdf/Econoline/RxxC1TFxxS.pdf</t>
  </si>
  <si>
    <t>Efficiency</t>
  </si>
  <si>
    <t>3.3/5V</t>
  </si>
  <si>
    <t>3-5.5V</t>
  </si>
  <si>
    <t>200mA</t>
  </si>
  <si>
    <t>26MHz</t>
  </si>
  <si>
    <t>5pF</t>
  </si>
  <si>
    <t>SMD</t>
  </si>
  <si>
    <t>2121Vpk</t>
  </si>
  <si>
    <t>DCDC_ISO:RxxC1TFxxS</t>
  </si>
  <si>
    <t>0Dan_PSUs:RxxC1TFxxS</t>
  </si>
  <si>
    <t> </t>
  </si>
  <si>
    <t>https://recom-power.com/pdf/Econoline/RFM.pdf</t>
  </si>
  <si>
    <t>5V</t>
  </si>
  <si>
    <t>500Vpk</t>
  </si>
  <si>
    <t>ThruHole</t>
  </si>
  <si>
    <t>75pF</t>
  </si>
  <si>
    <t>80kHz</t>
  </si>
  <si>
    <t>RFM-0505S</t>
  </si>
  <si>
    <t>945-3159-ND</t>
  </si>
  <si>
    <t>0Dan_PSUs:DC-DC_2pI_2pO_invpol</t>
  </si>
  <si>
    <t>DCDC_ISO:Recom_RFM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</si>
</sst>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8"/>
  <sheetViews>
    <sheetView tabSelected="1" topLeftCell="E1" workbookViewId="0">
      <selection activeCell="K10" sqref="K10"/>
    </sheetView>
  </sheetViews>
  <sheetFormatPr defaultRowHeight="14.5" x14ac:dyDescent="0.35"/>
  <cols>
    <col min="3" max="3" width="50.1796875" bestFit="1" customWidth="1"/>
    <col min="4" max="4" width="20.81640625" bestFit="1" customWidth="1"/>
    <col min="8" max="8" width="23.1796875" bestFit="1" customWidth="1"/>
    <col min="9" max="9" width="13.7265625" bestFit="1" customWidth="1"/>
    <col min="10" max="10" width="9.08984375" bestFit="1" customWidth="1"/>
    <col min="11" max="11" width="19.08984375" bestFit="1" customWidth="1"/>
    <col min="13" max="13" width="12.6328125" bestFit="1" customWidth="1"/>
    <col min="14" max="14" width="12.81640625" customWidth="1"/>
    <col min="15" max="15" width="9.6328125" bestFit="1" customWidth="1"/>
    <col min="16" max="16" width="12.08984375" bestFit="1" customWidth="1"/>
    <col min="17" max="17" width="9.36328125" customWidth="1"/>
    <col min="18" max="18" width="21" bestFit="1" customWidth="1"/>
    <col min="19" max="19" width="20" bestFit="1" customWidth="1"/>
    <col min="27" max="27" width="15" bestFit="1" customWidth="1"/>
  </cols>
  <sheetData>
    <row r="1" spans="2:28" x14ac:dyDescent="0.35">
      <c r="B1" s="1" t="s">
        <v>0</v>
      </c>
      <c r="N1" s="1" t="s">
        <v>1</v>
      </c>
    </row>
    <row r="2" spans="2:28" x14ac:dyDescent="0.35">
      <c r="B2" t="s">
        <v>2</v>
      </c>
      <c r="C2">
        <f>COUNTA(C7:C9999)</f>
        <v>2</v>
      </c>
      <c r="D2">
        <f t="shared" ref="D2:T2" si="0">COUNTA(D7:D9999)</f>
        <v>2</v>
      </c>
      <c r="E2">
        <f t="shared" si="0"/>
        <v>2</v>
      </c>
      <c r="F2">
        <f t="shared" ref="F2:L2" si="1">COUNTA(F7:F9999)</f>
        <v>2</v>
      </c>
      <c r="G2">
        <f t="shared" si="1"/>
        <v>2</v>
      </c>
      <c r="H2">
        <f t="shared" si="1"/>
        <v>2</v>
      </c>
      <c r="I2">
        <f t="shared" si="1"/>
        <v>2</v>
      </c>
      <c r="J2">
        <f t="shared" ref="J2" si="2">COUNTA(J7:J9999)</f>
        <v>2</v>
      </c>
      <c r="K2">
        <f t="shared" si="1"/>
        <v>2</v>
      </c>
      <c r="L2">
        <f t="shared" si="1"/>
        <v>2</v>
      </c>
      <c r="M2">
        <f t="shared" si="0"/>
        <v>2</v>
      </c>
      <c r="N2">
        <f t="shared" si="0"/>
        <v>2</v>
      </c>
      <c r="O2">
        <f t="shared" si="0"/>
        <v>2</v>
      </c>
      <c r="P2">
        <f t="shared" si="0"/>
        <v>2</v>
      </c>
      <c r="Q2">
        <f t="shared" si="0"/>
        <v>2</v>
      </c>
      <c r="R2">
        <f t="shared" si="0"/>
        <v>2</v>
      </c>
      <c r="S2">
        <f t="shared" si="0"/>
        <v>2</v>
      </c>
      <c r="T2">
        <f t="shared" si="0"/>
        <v>2</v>
      </c>
      <c r="AA2" t="s">
        <v>3</v>
      </c>
      <c r="AB2">
        <f>AVERAGE(X7:X9999)</f>
        <v>100</v>
      </c>
    </row>
    <row r="3" spans="2:28" x14ac:dyDescent="0.35">
      <c r="AA3" t="s">
        <v>4</v>
      </c>
      <c r="AB3">
        <f>MAX(C2:T2)</f>
        <v>2</v>
      </c>
    </row>
    <row r="4" spans="2:28" x14ac:dyDescent="0.35">
      <c r="B4" t="s">
        <v>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AA4" t="s">
        <v>6</v>
      </c>
      <c r="AB4">
        <f>SUM(Y7:Y9999)</f>
        <v>2</v>
      </c>
    </row>
    <row r="5" spans="2:28" x14ac:dyDescent="0.35">
      <c r="AA5" t="s">
        <v>7</v>
      </c>
      <c r="AB5">
        <f>COUNTIF(X7:X9999,"&lt;100")</f>
        <v>0</v>
      </c>
    </row>
    <row r="6" spans="2:28" x14ac:dyDescent="0.35">
      <c r="C6" t="s">
        <v>8</v>
      </c>
      <c r="D6" t="s">
        <v>9</v>
      </c>
      <c r="E6" t="s">
        <v>23</v>
      </c>
      <c r="F6" t="s">
        <v>24</v>
      </c>
      <c r="G6" t="s">
        <v>25</v>
      </c>
      <c r="H6" t="s">
        <v>26</v>
      </c>
      <c r="I6" t="s">
        <v>27</v>
      </c>
      <c r="J6" t="s">
        <v>34</v>
      </c>
      <c r="K6" t="s">
        <v>28</v>
      </c>
      <c r="L6" t="s">
        <v>29</v>
      </c>
      <c r="M6" t="s">
        <v>10</v>
      </c>
      <c r="N6" t="s">
        <v>11</v>
      </c>
      <c r="O6" t="s">
        <v>12</v>
      </c>
      <c r="P6" t="s">
        <v>13</v>
      </c>
      <c r="Q6" t="s">
        <v>14</v>
      </c>
      <c r="R6" t="s">
        <v>15</v>
      </c>
      <c r="S6" t="s">
        <v>16</v>
      </c>
      <c r="T6" t="s">
        <v>17</v>
      </c>
      <c r="W6" t="s">
        <v>18</v>
      </c>
      <c r="X6" t="s">
        <v>19</v>
      </c>
      <c r="Y6" t="s">
        <v>20</v>
      </c>
    </row>
    <row r="7" spans="2:28" x14ac:dyDescent="0.35">
      <c r="C7" t="str">
        <f>_xlfn.CONCAT(E7,"out ",G7," ",F7,"in ",H7," ",L7," ",J7," ",K7," ",I7)</f>
        <v>3.3/5Vout 200mA 3-5.5Vin 2121Vpk 26MHz 0.505 5pF SMD</v>
      </c>
      <c r="D7" t="str">
        <f>_xlfn.CONCAT(F7," to ",E7," ",G7)</f>
        <v>3-5.5V to 3.3/5V 200mA</v>
      </c>
      <c r="E7" t="s">
        <v>35</v>
      </c>
      <c r="F7" t="s">
        <v>36</v>
      </c>
      <c r="G7" t="s">
        <v>37</v>
      </c>
      <c r="H7" t="s">
        <v>41</v>
      </c>
      <c r="I7" t="s">
        <v>40</v>
      </c>
      <c r="J7" s="2">
        <v>0.505</v>
      </c>
      <c r="K7" t="s">
        <v>39</v>
      </c>
      <c r="L7" t="s">
        <v>38</v>
      </c>
      <c r="M7" t="s">
        <v>31</v>
      </c>
      <c r="N7" t="s">
        <v>30</v>
      </c>
      <c r="O7" t="s">
        <v>22</v>
      </c>
      <c r="P7" t="s">
        <v>32</v>
      </c>
      <c r="Q7" t="s">
        <v>33</v>
      </c>
      <c r="R7" t="s">
        <v>43</v>
      </c>
      <c r="S7" t="s">
        <v>42</v>
      </c>
      <c r="T7" t="s">
        <v>44</v>
      </c>
      <c r="W7">
        <f>COUNTBLANK(C7:T7)</f>
        <v>0</v>
      </c>
      <c r="X7">
        <f>100*COUNTA(C7:T7)/$AB$7</f>
        <v>100</v>
      </c>
      <c r="Y7">
        <f>IF(X7=100,1,0)</f>
        <v>1</v>
      </c>
      <c r="AA7" t="s">
        <v>21</v>
      </c>
      <c r="AB7">
        <f>SUM(C4:T4)</f>
        <v>18</v>
      </c>
    </row>
    <row r="8" spans="2:28" x14ac:dyDescent="0.35">
      <c r="C8" t="str">
        <f>_xlfn.CONCAT(E8,"out ",G8," ",F8,"in ",H8," ",L8," ",J8," ",K8," ",I8)</f>
        <v>5Vout 200mA 5Vin 500Vpk 80kHz 0.79 75pF ThruHole</v>
      </c>
      <c r="D8" t="str">
        <f>_xlfn.CONCAT(F8," to ",E8," ",G8)</f>
        <v>5V to 5V 200mA</v>
      </c>
      <c r="E8" t="s">
        <v>46</v>
      </c>
      <c r="F8" t="s">
        <v>46</v>
      </c>
      <c r="G8" t="s">
        <v>37</v>
      </c>
      <c r="H8" t="s">
        <v>47</v>
      </c>
      <c r="I8" t="s">
        <v>48</v>
      </c>
      <c r="J8" s="3">
        <v>0.79</v>
      </c>
      <c r="K8" t="s">
        <v>49</v>
      </c>
      <c r="L8" t="s">
        <v>50</v>
      </c>
      <c r="M8" t="s">
        <v>31</v>
      </c>
      <c r="N8" t="s">
        <v>51</v>
      </c>
      <c r="O8" t="s">
        <v>22</v>
      </c>
      <c r="P8" t="s">
        <v>52</v>
      </c>
      <c r="Q8" t="s">
        <v>45</v>
      </c>
      <c r="R8" t="s">
        <v>53</v>
      </c>
      <c r="S8" t="s">
        <v>54</v>
      </c>
      <c r="T8" t="s">
        <v>44</v>
      </c>
      <c r="W8">
        <f>COUNTBLANK(C8:T8)</f>
        <v>0</v>
      </c>
      <c r="X8">
        <f>100*COUNTA(C8:T8)/$AB$7</f>
        <v>100</v>
      </c>
      <c r="Y8">
        <f>IF(X8=100,1,0)</f>
        <v>1</v>
      </c>
    </row>
  </sheetData>
  <conditionalFormatting sqref="C7:T34">
    <cfRule type="containsBlanks" dxfId="0" priority="1">
      <formula>LEN(TRIM(C7))=0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2026-01-08T22:28:15Z</dcterms:modified>
</cp:coreProperties>
</file>