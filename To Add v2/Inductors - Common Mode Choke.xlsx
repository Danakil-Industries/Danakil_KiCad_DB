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87C1C86E-7020-4970-9173-7E3C296835E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C10" i="1"/>
  <c r="D10" i="1"/>
  <c r="C11" i="1"/>
  <c r="W11" i="1" s="1"/>
  <c r="D11" i="1"/>
  <c r="D13" i="1"/>
  <c r="C13" i="1"/>
  <c r="X13" i="1" s="1"/>
  <c r="Y13" i="1" s="1"/>
  <c r="D12" i="1"/>
  <c r="C12" i="1"/>
  <c r="X12" i="1" s="1"/>
  <c r="Y12" i="1" s="1"/>
  <c r="W10" i="1"/>
  <c r="W9" i="1"/>
  <c r="X9" i="1"/>
  <c r="Y9" i="1" s="1"/>
  <c r="C8" i="1"/>
  <c r="C7" i="1"/>
  <c r="F2" i="1"/>
  <c r="E2" i="1"/>
  <c r="G2" i="1"/>
  <c r="H2" i="1"/>
  <c r="I2" i="1"/>
  <c r="J2" i="1"/>
  <c r="K2" i="1"/>
  <c r="L2" i="1"/>
  <c r="D8" i="1"/>
  <c r="D7" i="1"/>
  <c r="AB7" i="1"/>
  <c r="M2" i="1"/>
  <c r="N2" i="1"/>
  <c r="O2" i="1"/>
  <c r="P2" i="1"/>
  <c r="Q2" i="1"/>
  <c r="R2" i="1"/>
  <c r="S2" i="1"/>
  <c r="T2" i="1"/>
  <c r="X11" i="1" l="1"/>
  <c r="Y11" i="1" s="1"/>
  <c r="W13" i="1"/>
  <c r="W12" i="1"/>
  <c r="X10" i="1"/>
  <c r="Y10" i="1" s="1"/>
  <c r="D2" i="1"/>
  <c r="C2" i="1"/>
  <c r="X8" i="1"/>
  <c r="Y8" i="1" s="1"/>
  <c r="W8" i="1"/>
  <c r="W7" i="1"/>
  <c r="X7" i="1"/>
  <c r="AB3" i="1" l="1"/>
  <c r="AB2" i="1"/>
  <c r="Y7" i="1"/>
  <c r="AB4" i="1" s="1"/>
  <c r="AB5" i="1"/>
</calcChain>
</file>

<file path=xl/sharedStrings.xml><?xml version="1.0" encoding="utf-8"?>
<sst xmlns="http://schemas.openxmlformats.org/spreadsheetml/2006/main" count="134" uniqueCount="91">
  <si>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</si>
  <si>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</si>
  <si>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</si>
  <si>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</si>
  <si>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</si>
  <si>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</si>
  <si>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</si>
  <si>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</si>
  <si>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</si>
  <si>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</si>
  <si>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</si>
  <si>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</si>
  <si>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</si>
  <si>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</si>
  <si>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</si>
  <si>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</si>
  <si>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</si>
  <si>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</si>
  <si>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</si>
  <si>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</si>
  <si>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</si>
  <si>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</si>
  <si>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</si>
  <si>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Bourns Inc.</t>
  </si>
  <si>
    <t>SRF2012A-801Y</t>
  </si>
  <si>
    <t>SRF2012A-801YCT-ND</t>
  </si>
  <si>
    <t>https://www.bourns.com/docs/product-datasheets/srf2012a-801y.pdf</t>
  </si>
  <si>
    <t>https://www.yageogroup.com/content/datasheet/asset/file/DATASHEET_W712</t>
  </si>
  <si>
    <t>Pulse Electronics</t>
  </si>
  <si>
    <t>PE-1206CCMC222STS</t>
  </si>
  <si>
    <t>553-2297-1-ND</t>
  </si>
  <si>
    <t>Lines</t>
  </si>
  <si>
    <t>Imax</t>
  </si>
  <si>
    <t>DCRmax</t>
  </si>
  <si>
    <t>Vmax</t>
  </si>
  <si>
    <t>Mounting Type</t>
  </si>
  <si>
    <t>Size</t>
  </si>
  <si>
    <t>2.2kΩ@100MHz</t>
  </si>
  <si>
    <t>Z@Freq</t>
  </si>
  <si>
    <t>1.2Ω</t>
  </si>
  <si>
    <t>50Vdc</t>
  </si>
  <si>
    <t>SMD</t>
  </si>
  <si>
    <t>3.2x1.6mm</t>
  </si>
  <si>
    <t>800Ω@100MHz</t>
  </si>
  <si>
    <t>880mΩ</t>
  </si>
  <si>
    <t>2x1.2mm</t>
  </si>
  <si>
    <t> </t>
  </si>
  <si>
    <t>0Dan_Chokes:2_Line_14-23</t>
  </si>
  <si>
    <t>Chokes:SRF2021A</t>
  </si>
  <si>
    <t>Chokes:PE-1206CCMC</t>
  </si>
  <si>
    <t>Self Resonant Freq</t>
  </si>
  <si>
    <t>800MHz</t>
  </si>
  <si>
    <t>300MHz</t>
  </si>
  <si>
    <t>Würth Elektronik</t>
  </si>
  <si>
    <t>732-1481-1-ND</t>
  </si>
  <si>
    <t>https://www.we-online.com/components/products/datasheet/744227.pdf</t>
  </si>
  <si>
    <t>10.1MHz</t>
  </si>
  <si>
    <t>5.5kΩ@10MHz</t>
  </si>
  <si>
    <t>1A</t>
  </si>
  <si>
    <t>160mΩ</t>
  </si>
  <si>
    <t>80Vdc</t>
  </si>
  <si>
    <t>9.2x6mm</t>
  </si>
  <si>
    <t>50105C</t>
  </si>
  <si>
    <t>Murata Power Solutions Inc.</t>
  </si>
  <si>
    <t>811-1183-1-ND</t>
  </si>
  <si>
    <t>https://www.murata.com/products/productdata/8816045555742/kmp-5000c.pdf</t>
  </si>
  <si>
    <t>744227S</t>
  </si>
  <si>
    <t>732-1482-1-ND</t>
  </si>
  <si>
    <t>https://www.we-online.com/components/products/datasheet/744227S.pdf</t>
  </si>
  <si>
    <t>50225C</t>
  </si>
  <si>
    <t>811-1184-1-ND</t>
  </si>
  <si>
    <t>50474C</t>
  </si>
  <si>
    <t>811-1185-1-ND</t>
  </si>
  <si>
    <t>7.3MHz</t>
  </si>
  <si>
    <t>7kΩ@7MHz</t>
  </si>
  <si>
    <t>0.3A</t>
  </si>
  <si>
    <t>0.2A</t>
  </si>
  <si>
    <t>0.7A</t>
  </si>
  <si>
    <t>300mΩ</t>
  </si>
  <si>
    <t>700Vdc</t>
  </si>
  <si>
    <t>9.3x5.9mm</t>
  </si>
  <si>
    <t>0.5A</t>
  </si>
  <si>
    <t>400mΩ</t>
  </si>
  <si>
    <t>4MHz</t>
  </si>
  <si>
    <t>9kΩ@4MHz</t>
  </si>
  <si>
    <t>5.5k@30MHz</t>
  </si>
  <si>
    <t>30MHz</t>
  </si>
  <si>
    <t>8MHz</t>
  </si>
  <si>
    <t>5kΩ@8MHz</t>
  </si>
  <si>
    <t>Chokes:5000_series</t>
  </si>
  <si>
    <t>Chokes:744227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</si>
</sst>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-online.com/components/products/datasheet/744227.pdf" TargetMode="External"/><Relationship Id="rId7" Type="http://schemas.openxmlformats.org/officeDocument/2006/relationships/hyperlink" Target="https://www.murata.com/products/productdata/8816045555742/kmp-5000c.pdf" TargetMode="External"/><Relationship Id="rId2" Type="http://schemas.openxmlformats.org/officeDocument/2006/relationships/hyperlink" Target="https://www.yageogroup.com/content/datasheet/asset/file/DATASHEET_W712" TargetMode="External"/><Relationship Id="rId1" Type="http://schemas.openxmlformats.org/officeDocument/2006/relationships/hyperlink" Target="https://www.bourns.com/docs/product-datasheets/srf2012a-801y.pdf" TargetMode="External"/><Relationship Id="rId6" Type="http://schemas.openxmlformats.org/officeDocument/2006/relationships/hyperlink" Target="https://www.murata.com/products/productdata/8816045555742/kmp-5000c.pdf" TargetMode="External"/><Relationship Id="rId5" Type="http://schemas.openxmlformats.org/officeDocument/2006/relationships/hyperlink" Target="https://www.we-online.com/components/products/datasheet/744227S.pdf" TargetMode="External"/><Relationship Id="rId4" Type="http://schemas.openxmlformats.org/officeDocument/2006/relationships/hyperlink" Target="https://www.murata.com/products/productdata/8816045555742/kmp-5000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3"/>
  <sheetViews>
    <sheetView tabSelected="1" workbookViewId="0">
      <selection activeCell="D15" sqref="D15"/>
    </sheetView>
  </sheetViews>
  <sheetFormatPr defaultRowHeight="14.5" x14ac:dyDescent="0.35"/>
  <cols>
    <col min="3" max="3" width="61.54296875" bestFit="1" customWidth="1"/>
    <col min="4" max="4" width="20.26953125" bestFit="1" customWidth="1"/>
    <col min="5" max="5" width="5" bestFit="1" customWidth="1"/>
    <col min="6" max="6" width="16.36328125" bestFit="1" customWidth="1"/>
    <col min="7" max="7" width="14.36328125" bestFit="1" customWidth="1"/>
    <col min="8" max="8" width="6.6328125" bestFit="1" customWidth="1"/>
    <col min="10" max="10" width="6.81640625" bestFit="1" customWidth="1"/>
    <col min="11" max="11" width="13.453125" bestFit="1" customWidth="1"/>
    <col min="12" max="12" width="10.08984375" bestFit="1" customWidth="1"/>
    <col min="13" max="13" width="24.54296875" bestFit="1" customWidth="1"/>
    <col min="14" max="14" width="18.453125" customWidth="1"/>
    <col min="15" max="15" width="9.6328125" bestFit="1" customWidth="1"/>
    <col min="16" max="16" width="19" bestFit="1" customWidth="1"/>
    <col min="18" max="18" width="24" bestFit="1" customWidth="1"/>
    <col min="19" max="19" width="19.1796875" bestFit="1" customWidth="1"/>
    <col min="27" max="27" width="15" bestFit="1" customWidth="1"/>
  </cols>
  <sheetData>
    <row r="1" spans="2:28" x14ac:dyDescent="0.35">
      <c r="B1" s="1" t="s">
        <v>0</v>
      </c>
      <c r="N1" s="1" t="s">
        <v>1</v>
      </c>
    </row>
    <row r="2" spans="2:28" x14ac:dyDescent="0.35">
      <c r="B2" t="s">
        <v>2</v>
      </c>
      <c r="C2">
        <f>COUNTA(C7:C9999)</f>
        <v>7</v>
      </c>
      <c r="D2">
        <f t="shared" ref="D2:T2" si="0">COUNTA(D7:D9999)</f>
        <v>7</v>
      </c>
      <c r="E2">
        <f t="shared" si="0"/>
        <v>7</v>
      </c>
      <c r="F2">
        <f t="shared" ref="F2" si="1">COUNTA(F7:F9999)</f>
        <v>7</v>
      </c>
      <c r="G2">
        <f t="shared" ref="G2:L2" si="2">COUNTA(G7:G9999)</f>
        <v>7</v>
      </c>
      <c r="H2">
        <f t="shared" si="2"/>
        <v>7</v>
      </c>
      <c r="I2">
        <f t="shared" si="2"/>
        <v>7</v>
      </c>
      <c r="J2">
        <f t="shared" si="2"/>
        <v>7</v>
      </c>
      <c r="K2">
        <f t="shared" si="2"/>
        <v>7</v>
      </c>
      <c r="L2">
        <f t="shared" si="2"/>
        <v>7</v>
      </c>
      <c r="M2">
        <f t="shared" si="0"/>
        <v>7</v>
      </c>
      <c r="N2">
        <f t="shared" si="0"/>
        <v>7</v>
      </c>
      <c r="O2">
        <f t="shared" si="0"/>
        <v>7</v>
      </c>
      <c r="P2">
        <f t="shared" si="0"/>
        <v>7</v>
      </c>
      <c r="Q2">
        <f t="shared" si="0"/>
        <v>7</v>
      </c>
      <c r="R2">
        <f t="shared" si="0"/>
        <v>7</v>
      </c>
      <c r="S2">
        <f t="shared" si="0"/>
        <v>7</v>
      </c>
      <c r="T2">
        <f t="shared" si="0"/>
        <v>7</v>
      </c>
      <c r="AA2" t="s">
        <v>3</v>
      </c>
      <c r="AB2">
        <f>AVERAGE(X7:X9999)</f>
        <v>100</v>
      </c>
    </row>
    <row r="3" spans="2:28" x14ac:dyDescent="0.35">
      <c r="AA3" t="s">
        <v>4</v>
      </c>
      <c r="AB3">
        <f>MAX(C2:T2)</f>
        <v>7</v>
      </c>
    </row>
    <row r="4" spans="2:28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AA4" t="s">
        <v>6</v>
      </c>
      <c r="AB4">
        <f>SUM(Y7:Y9999)</f>
        <v>7</v>
      </c>
    </row>
    <row r="5" spans="2:28" x14ac:dyDescent="0.35">
      <c r="AA5" t="s">
        <v>7</v>
      </c>
      <c r="AB5">
        <f>COUNTIF(X7:X9999,"&lt;100")</f>
        <v>0</v>
      </c>
    </row>
    <row r="6" spans="2:28" x14ac:dyDescent="0.35">
      <c r="C6" t="s">
        <v>8</v>
      </c>
      <c r="D6" t="s">
        <v>9</v>
      </c>
      <c r="E6" t="s">
        <v>31</v>
      </c>
      <c r="F6" t="s">
        <v>50</v>
      </c>
      <c r="G6" t="s">
        <v>38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17</v>
      </c>
      <c r="W6" t="s">
        <v>18</v>
      </c>
      <c r="X6" t="s">
        <v>19</v>
      </c>
      <c r="Y6" t="s">
        <v>20</v>
      </c>
    </row>
    <row r="7" spans="2:28" x14ac:dyDescent="0.35">
      <c r="C7" t="str">
        <f>_xlfn.CONCAT(E7,"Line ",F7,"SRF ",G7," ",H7," ",I7," ",J7," ",K7," ",L7," ",T7)</f>
        <v>2Line 800MHzSRF 800Ω@100MHz 0.3A 880mΩ 50Vdc SMD 2x1.2mm  </v>
      </c>
      <c r="D7" t="str">
        <f>_xlfn.CONCAT(G7," ",H7)</f>
        <v>800Ω@100MHz 0.3A</v>
      </c>
      <c r="E7">
        <v>2</v>
      </c>
      <c r="F7" t="s">
        <v>51</v>
      </c>
      <c r="G7" t="s">
        <v>43</v>
      </c>
      <c r="H7" t="s">
        <v>75</v>
      </c>
      <c r="I7" t="s">
        <v>44</v>
      </c>
      <c r="J7" t="s">
        <v>40</v>
      </c>
      <c r="K7" t="s">
        <v>41</v>
      </c>
      <c r="L7" t="s">
        <v>45</v>
      </c>
      <c r="M7" t="s">
        <v>23</v>
      </c>
      <c r="N7" t="s">
        <v>24</v>
      </c>
      <c r="O7" t="s">
        <v>22</v>
      </c>
      <c r="P7" t="s">
        <v>25</v>
      </c>
      <c r="Q7" s="2" t="s">
        <v>26</v>
      </c>
      <c r="R7" t="s">
        <v>47</v>
      </c>
      <c r="S7" t="s">
        <v>48</v>
      </c>
      <c r="T7" t="s">
        <v>46</v>
      </c>
      <c r="W7">
        <f>COUNTBLANK(C7:T7)</f>
        <v>0</v>
      </c>
      <c r="X7">
        <f>100*COUNTA(C7:T7)/$AB$7</f>
        <v>100</v>
      </c>
      <c r="Y7">
        <f>IF(X7=100,1,0)</f>
        <v>1</v>
      </c>
      <c r="AA7" t="s">
        <v>21</v>
      </c>
      <c r="AB7">
        <f>SUM(C4:T4)</f>
        <v>18</v>
      </c>
    </row>
    <row r="8" spans="2:28" x14ac:dyDescent="0.35">
      <c r="C8" t="str">
        <f>_xlfn.CONCAT(E8,"Line ",F8,"SRF ",G8," ",H8," ",I8," ",J8," ",K8," ",L8," ",T8)</f>
        <v>2Line 300MHzSRF 2.2kΩ@100MHz 0.2A 1.2Ω 50Vdc SMD 3.2x1.6mm  </v>
      </c>
      <c r="D8" t="str">
        <f>_xlfn.CONCAT(G8," ",H8)</f>
        <v>2.2kΩ@100MHz 0.2A</v>
      </c>
      <c r="E8">
        <v>2</v>
      </c>
      <c r="F8" t="s">
        <v>52</v>
      </c>
      <c r="G8" t="s">
        <v>37</v>
      </c>
      <c r="H8" t="s">
        <v>76</v>
      </c>
      <c r="I8" t="s">
        <v>39</v>
      </c>
      <c r="J8" t="s">
        <v>40</v>
      </c>
      <c r="K8" t="s">
        <v>41</v>
      </c>
      <c r="L8" t="s">
        <v>42</v>
      </c>
      <c r="M8" t="s">
        <v>28</v>
      </c>
      <c r="N8" t="s">
        <v>29</v>
      </c>
      <c r="O8" t="s">
        <v>22</v>
      </c>
      <c r="P8" t="s">
        <v>30</v>
      </c>
      <c r="Q8" s="2" t="s">
        <v>27</v>
      </c>
      <c r="R8" t="s">
        <v>47</v>
      </c>
      <c r="S8" t="s">
        <v>49</v>
      </c>
      <c r="T8" t="s">
        <v>46</v>
      </c>
      <c r="W8">
        <f>COUNTBLANK(C8:T8)</f>
        <v>0</v>
      </c>
      <c r="X8">
        <f>100*COUNTA(C8:T8)/$AB$7</f>
        <v>100</v>
      </c>
      <c r="Y8">
        <f>IF(X8=100,1,0)</f>
        <v>1</v>
      </c>
    </row>
    <row r="9" spans="2:28" x14ac:dyDescent="0.35">
      <c r="C9" t="str">
        <f t="shared" ref="C9:C11" si="3">_xlfn.CONCAT(E9,"Line ",F9,"SRF ",G9," ",H9," ",I9," ",J9," ",K9," ",L9," ",T9)</f>
        <v>2Line 10.1MHzSRF 5.5kΩ@10MHz 1A 160mΩ 80Vdc SMD 9.2x6mm  </v>
      </c>
      <c r="D9" t="str">
        <f t="shared" ref="D9:D11" si="4">_xlfn.CONCAT(G9," ",H9)</f>
        <v>5.5kΩ@10MHz 1A</v>
      </c>
      <c r="E9">
        <v>2</v>
      </c>
      <c r="F9" t="s">
        <v>56</v>
      </c>
      <c r="G9" s="3" t="s">
        <v>57</v>
      </c>
      <c r="H9" t="s">
        <v>58</v>
      </c>
      <c r="I9" t="s">
        <v>59</v>
      </c>
      <c r="J9" t="s">
        <v>60</v>
      </c>
      <c r="K9" t="s">
        <v>41</v>
      </c>
      <c r="L9" t="s">
        <v>61</v>
      </c>
      <c r="M9" t="s">
        <v>53</v>
      </c>
      <c r="N9">
        <v>744227</v>
      </c>
      <c r="O9" t="s">
        <v>22</v>
      </c>
      <c r="P9" t="s">
        <v>54</v>
      </c>
      <c r="Q9" s="2" t="s">
        <v>55</v>
      </c>
      <c r="R9" t="s">
        <v>47</v>
      </c>
      <c r="S9" t="s">
        <v>90</v>
      </c>
      <c r="T9" t="s">
        <v>46</v>
      </c>
      <c r="W9">
        <f t="shared" ref="W9:W13" si="5">COUNTBLANK(C9:T9)</f>
        <v>0</v>
      </c>
      <c r="X9">
        <f t="shared" ref="X9:X13" si="6">100*COUNTA(C9:T9)/$AB$7</f>
        <v>100</v>
      </c>
      <c r="Y9">
        <f t="shared" ref="Y9:Y13" si="7">IF(X9=100,1,0)</f>
        <v>1</v>
      </c>
    </row>
    <row r="10" spans="2:28" x14ac:dyDescent="0.35">
      <c r="C10" t="str">
        <f t="shared" si="3"/>
        <v>2Line 8MHzSRF 5kΩ@8MHz 0.7A 300mΩ 700Vdc SMD 9.3x5.9mm  </v>
      </c>
      <c r="D10" t="str">
        <f t="shared" si="4"/>
        <v>5kΩ@8MHz 0.7A</v>
      </c>
      <c r="E10">
        <v>2</v>
      </c>
      <c r="F10" t="s">
        <v>87</v>
      </c>
      <c r="G10" s="3" t="s">
        <v>88</v>
      </c>
      <c r="H10" t="s">
        <v>77</v>
      </c>
      <c r="I10" t="s">
        <v>78</v>
      </c>
      <c r="J10" t="s">
        <v>79</v>
      </c>
      <c r="K10" t="s">
        <v>41</v>
      </c>
      <c r="L10" t="s">
        <v>80</v>
      </c>
      <c r="M10" t="s">
        <v>63</v>
      </c>
      <c r="N10" t="s">
        <v>62</v>
      </c>
      <c r="O10" t="s">
        <v>22</v>
      </c>
      <c r="P10" t="s">
        <v>64</v>
      </c>
      <c r="Q10" s="2" t="s">
        <v>65</v>
      </c>
      <c r="R10" t="s">
        <v>47</v>
      </c>
      <c r="S10" t="s">
        <v>89</v>
      </c>
      <c r="T10" t="s">
        <v>46</v>
      </c>
      <c r="W10">
        <f t="shared" si="5"/>
        <v>0</v>
      </c>
      <c r="X10">
        <f t="shared" si="6"/>
        <v>100</v>
      </c>
      <c r="Y10">
        <f t="shared" si="7"/>
        <v>1</v>
      </c>
    </row>
    <row r="11" spans="2:28" x14ac:dyDescent="0.35">
      <c r="C11" t="str">
        <f t="shared" si="3"/>
        <v>2Line 30MHzSRF 5.5k@30MHz 1A 160mΩ 80Vdc SMD 9.2x6mm  </v>
      </c>
      <c r="D11" t="str">
        <f t="shared" si="4"/>
        <v>5.5k@30MHz 1A</v>
      </c>
      <c r="E11">
        <v>2</v>
      </c>
      <c r="F11" t="s">
        <v>86</v>
      </c>
      <c r="G11" s="3" t="s">
        <v>85</v>
      </c>
      <c r="H11" t="s">
        <v>58</v>
      </c>
      <c r="I11" t="s">
        <v>59</v>
      </c>
      <c r="J11" t="s">
        <v>60</v>
      </c>
      <c r="K11" t="s">
        <v>41</v>
      </c>
      <c r="L11" t="s">
        <v>61</v>
      </c>
      <c r="M11" t="s">
        <v>53</v>
      </c>
      <c r="N11" t="s">
        <v>66</v>
      </c>
      <c r="O11" t="s">
        <v>22</v>
      </c>
      <c r="P11" t="s">
        <v>67</v>
      </c>
      <c r="Q11" s="2" t="s">
        <v>68</v>
      </c>
      <c r="R11" t="s">
        <v>47</v>
      </c>
      <c r="S11" t="s">
        <v>90</v>
      </c>
      <c r="T11" t="s">
        <v>46</v>
      </c>
      <c r="W11">
        <f t="shared" si="5"/>
        <v>0</v>
      </c>
      <c r="X11">
        <f t="shared" si="6"/>
        <v>100</v>
      </c>
      <c r="Y11">
        <f t="shared" si="7"/>
        <v>1</v>
      </c>
    </row>
    <row r="12" spans="2:28" x14ac:dyDescent="0.35">
      <c r="C12" t="str">
        <f>_xlfn.CONCAT(E12,"Line ",F12,"SRF ",G12," ",H12," ",I12," ",J12," ",K12," ",L12," ",T12)</f>
        <v>2Line 4MHzSRF 9kΩ@4MHz 0.5A 400mΩ 700Vdc SMD 9.3x5.9mm  </v>
      </c>
      <c r="D12" t="str">
        <f>_xlfn.CONCAT(G12," ",H12)</f>
        <v>9kΩ@4MHz 0.5A</v>
      </c>
      <c r="E12">
        <v>2</v>
      </c>
      <c r="F12" t="s">
        <v>83</v>
      </c>
      <c r="G12" s="3" t="s">
        <v>84</v>
      </c>
      <c r="H12" t="s">
        <v>81</v>
      </c>
      <c r="I12" t="s">
        <v>82</v>
      </c>
      <c r="J12" t="s">
        <v>79</v>
      </c>
      <c r="K12" t="s">
        <v>41</v>
      </c>
      <c r="L12" t="s">
        <v>80</v>
      </c>
      <c r="M12" t="s">
        <v>63</v>
      </c>
      <c r="N12" t="s">
        <v>69</v>
      </c>
      <c r="O12" t="s">
        <v>22</v>
      </c>
      <c r="P12" t="s">
        <v>70</v>
      </c>
      <c r="Q12" s="2" t="s">
        <v>65</v>
      </c>
      <c r="R12" t="s">
        <v>47</v>
      </c>
      <c r="S12" t="s">
        <v>89</v>
      </c>
      <c r="T12" t="s">
        <v>46</v>
      </c>
      <c r="W12">
        <f t="shared" si="5"/>
        <v>0</v>
      </c>
      <c r="X12">
        <f t="shared" si="6"/>
        <v>100</v>
      </c>
      <c r="Y12">
        <f t="shared" si="7"/>
        <v>1</v>
      </c>
    </row>
    <row r="13" spans="2:28" x14ac:dyDescent="0.35">
      <c r="C13" t="str">
        <f>_xlfn.CONCAT(E13,"Line ",F13,"SRF ",G13," ",H13," ",I13," ",J13," ",K13," ",L13," ",T13)</f>
        <v>2Line 7.3MHzSRF 7kΩ@7MHz 0.7A 300mΩ 700Vdc SMD 9.3x5.9mm  </v>
      </c>
      <c r="D13" t="str">
        <f>_xlfn.CONCAT(G13," ",H13)</f>
        <v>7kΩ@7MHz 0.7A</v>
      </c>
      <c r="E13">
        <v>2</v>
      </c>
      <c r="F13" t="s">
        <v>73</v>
      </c>
      <c r="G13" s="3" t="s">
        <v>74</v>
      </c>
      <c r="H13" t="s">
        <v>77</v>
      </c>
      <c r="I13" t="s">
        <v>78</v>
      </c>
      <c r="J13" t="s">
        <v>79</v>
      </c>
      <c r="K13" t="s">
        <v>41</v>
      </c>
      <c r="L13" t="s">
        <v>80</v>
      </c>
      <c r="M13" t="s">
        <v>63</v>
      </c>
      <c r="N13" t="s">
        <v>71</v>
      </c>
      <c r="O13" t="s">
        <v>22</v>
      </c>
      <c r="P13" t="s">
        <v>72</v>
      </c>
      <c r="Q13" s="2" t="s">
        <v>65</v>
      </c>
      <c r="R13" t="s">
        <v>47</v>
      </c>
      <c r="S13" t="s">
        <v>89</v>
      </c>
      <c r="T13" t="s">
        <v>46</v>
      </c>
      <c r="W13">
        <f t="shared" si="5"/>
        <v>0</v>
      </c>
      <c r="X13">
        <f t="shared" si="6"/>
        <v>100</v>
      </c>
      <c r="Y13">
        <f t="shared" si="7"/>
        <v>1</v>
      </c>
    </row>
  </sheetData>
  <phoneticPr fontId="3" type="noConversion"/>
  <conditionalFormatting sqref="C7:T19">
    <cfRule type="containsBlanks" dxfId="0" priority="1">
      <formula>LEN(TRIM(C7))=0</formula>
    </cfRule>
  </conditionalFormatting>
  <hyperlinks>
    <hyperlink ref="Q7" r:id="rId1" xr:uid="{BC17CC69-382D-4761-9B4F-0EAD09E6D120}"/>
    <hyperlink ref="Q8" r:id="rId2" xr:uid="{7AE61A75-FDFA-43E5-9C28-4FE3CA83D2B1}"/>
    <hyperlink ref="Q9" r:id="rId3" xr:uid="{9BE8313E-8357-487B-A580-AA18FCEF1C53}"/>
    <hyperlink ref="Q10" r:id="rId4" xr:uid="{CA9994DC-19D9-4AD9-A18E-3F7827177F43}"/>
    <hyperlink ref="Q11" r:id="rId5" xr:uid="{14AD37BD-EC68-41B8-B860-C3C7541F22F9}"/>
    <hyperlink ref="Q12" r:id="rId6" xr:uid="{7EA57E27-2440-4ACA-85F4-4F85402BF619}"/>
    <hyperlink ref="Q13" r:id="rId7" xr:uid="{ACD55AB8-A186-424B-AD06-79E1E434E9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2025-10-23T19:46:38Z</dcterms:modified>
</cp:coreProperties>
</file>