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9858CFC3-F8C2-4E2E-A524-261E5DD4418C}" xr6:coauthVersionLast="47" xr6:coauthVersionMax="47" xr10:uidLastSave="{00000000-0000-0000-0000-000000000000}"/>
  <bookViews>
    <workbookView xWindow="38280" yWindow="772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7" i="1"/>
  <c r="D8" i="1"/>
  <c r="D9" i="1"/>
  <c r="D7" i="1"/>
  <c r="E2" i="1"/>
  <c r="F2" i="1"/>
  <c r="G2" i="1"/>
  <c r="H2" i="1"/>
  <c r="I2" i="1"/>
  <c r="J2" i="1"/>
  <c r="K2" i="1"/>
  <c r="L2" i="1"/>
  <c r="M2" i="1"/>
  <c r="X8" i="1" l="1"/>
  <c r="X9" i="1"/>
  <c r="X7" i="1" l="1"/>
  <c r="AC7" i="1"/>
  <c r="D2" i="1"/>
  <c r="N2" i="1"/>
  <c r="O2" i="1"/>
  <c r="P2" i="1"/>
  <c r="Q2" i="1"/>
  <c r="R2" i="1"/>
  <c r="S2" i="1"/>
  <c r="T2" i="1"/>
  <c r="U2" i="1"/>
  <c r="C2" i="1"/>
  <c r="Y7" i="1" l="1"/>
  <c r="Z7" i="1" s="1"/>
  <c r="Y9" i="1"/>
  <c r="Z9" i="1" s="1"/>
  <c r="Y8" i="1"/>
  <c r="Z8" i="1" s="1"/>
  <c r="AC3" i="1"/>
  <c r="AC5" i="1" l="1"/>
  <c r="AC4" i="1"/>
  <c r="AC2" i="1"/>
</calcChain>
</file>

<file path=xl/sharedStrings.xml><?xml version="1.0" encoding="utf-8"?>
<sst xmlns="http://schemas.openxmlformats.org/spreadsheetml/2006/main" count="70" uniqueCount="51">
  <si>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</si>
  <si>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</si>
  <si>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</si>
  <si>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</si>
  <si>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</si>
  <si>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</si>
  <si>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</si>
  <si>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</si>
  <si>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</si>
  <si>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</si>
  <si>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</si>
  <si>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</si>
  <si>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</si>
  <si>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</si>
  <si>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</si>
  <si>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</si>
  <si>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</si>
  <si>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</si>
  <si>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</si>
  <si>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</si>
  <si>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</si>
  <si>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</si>
  <si>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Vout</t>
  </si>
  <si>
    <t>Tolerance</t>
  </si>
  <si>
    <t>Reference Type</t>
  </si>
  <si>
    <t>Noise 0.1-10Hz</t>
  </si>
  <si>
    <t>Noise 10Hz-10kHz</t>
  </si>
  <si>
    <t>Mounting Type</t>
  </si>
  <si>
    <t>Imax</t>
  </si>
  <si>
    <t>LM4040C25FTA</t>
  </si>
  <si>
    <t>Diodes Incorporated</t>
  </si>
  <si>
    <t>SMD</t>
  </si>
  <si>
    <t>Digikey</t>
  </si>
  <si>
    <t>LM4040C25FCT-ND</t>
  </si>
  <si>
    <t>https://www.diodes.com/assets/Datasheets/LM4040.pdf</t>
  </si>
  <si>
    <t>2.5v</t>
  </si>
  <si>
    <t>3.3v</t>
  </si>
  <si>
    <t> </t>
  </si>
  <si>
    <t>50µVp-p</t>
  </si>
  <si>
    <t>Shunt</t>
  </si>
  <si>
    <t>15mA</t>
  </si>
  <si>
    <t>LM4040D25FTA</t>
  </si>
  <si>
    <t>Temp Co (ppm/°C)</t>
  </si>
  <si>
    <t>LM4040D25FCT-ND</t>
  </si>
  <si>
    <t>Series</t>
  </si>
  <si>
    <t>LM4040</t>
  </si>
  <si>
    <t>0.5%</t>
  </si>
  <si>
    <t>1%</t>
  </si>
  <si>
    <t>LM4040D33FTA</t>
  </si>
  <si>
    <t>31-LM4040D33FTACT-ND</t>
  </si>
  <si>
    <t>https://www.diodes.com/assets/Datasheets/LM4040Q.pdf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</si>
</sst>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50"/>
  <sheetViews>
    <sheetView tabSelected="1" topLeftCell="E1" workbookViewId="0">
      <selection activeCell="X10" sqref="X10:Z13"/>
    </sheetView>
  </sheetViews>
  <sheetFormatPr defaultRowHeight="14.5"/>
  <cols>
    <col min="3" max="3" width="36.1796875" bestFit="1" customWidth="1"/>
    <col min="4" max="4" width="16.36328125" bestFit="1" customWidth="1"/>
    <col min="7" max="8" width="9.26953125" bestFit="1" customWidth="1"/>
    <col min="9" max="9" width="8.36328125" customWidth="1"/>
    <col min="10" max="10" width="14.26953125" bestFit="1" customWidth="1"/>
    <col min="11" max="11" width="13.453125" bestFit="1" customWidth="1"/>
    <col min="12" max="12" width="15.90625" bestFit="1" customWidth="1"/>
    <col min="13" max="13" width="13.7265625" bestFit="1" customWidth="1"/>
    <col min="14" max="14" width="18.36328125" bestFit="1" customWidth="1"/>
    <col min="15" max="15" width="13.6328125" customWidth="1"/>
    <col min="16" max="16" width="9.6328125" bestFit="1" customWidth="1"/>
    <col min="17" max="17" width="12.08984375" bestFit="1" customWidth="1"/>
    <col min="28" max="28" width="15" bestFit="1" customWidth="1"/>
  </cols>
  <sheetData>
    <row r="1" spans="2:29">
      <c r="B1" s="1" t="s">
        <v>0</v>
      </c>
      <c r="O1" s="1" t="s">
        <v>1</v>
      </c>
    </row>
    <row r="2" spans="2:29">
      <c r="B2" t="s">
        <v>2</v>
      </c>
      <c r="C2">
        <f>COUNTA(C7:C9999)</f>
        <v>3</v>
      </c>
      <c r="D2">
        <f t="shared" ref="D2:U2" si="0">COUNTA(D7:D9999)</f>
        <v>3</v>
      </c>
      <c r="E2">
        <f t="shared" si="0"/>
        <v>3</v>
      </c>
      <c r="F2">
        <f t="shared" ref="F2:M2" si="1">COUNTA(F7:F9999)</f>
        <v>3</v>
      </c>
      <c r="G2">
        <f t="shared" si="1"/>
        <v>3</v>
      </c>
      <c r="H2">
        <f t="shared" si="1"/>
        <v>3</v>
      </c>
      <c r="I2">
        <f t="shared" si="1"/>
        <v>3</v>
      </c>
      <c r="J2">
        <f t="shared" si="1"/>
        <v>3</v>
      </c>
      <c r="K2">
        <f t="shared" si="1"/>
        <v>3</v>
      </c>
      <c r="L2">
        <f t="shared" si="1"/>
        <v>3</v>
      </c>
      <c r="M2">
        <f t="shared" si="1"/>
        <v>3</v>
      </c>
      <c r="N2">
        <f t="shared" si="0"/>
        <v>3</v>
      </c>
      <c r="O2">
        <f t="shared" si="0"/>
        <v>3</v>
      </c>
      <c r="P2">
        <f t="shared" si="0"/>
        <v>3</v>
      </c>
      <c r="Q2">
        <f t="shared" si="0"/>
        <v>3</v>
      </c>
      <c r="R2">
        <f t="shared" si="0"/>
        <v>3</v>
      </c>
      <c r="S2">
        <f t="shared" si="0"/>
        <v>0</v>
      </c>
      <c r="T2">
        <f t="shared" si="0"/>
        <v>0</v>
      </c>
      <c r="U2">
        <f t="shared" si="0"/>
        <v>0</v>
      </c>
      <c r="AB2" t="s">
        <v>3</v>
      </c>
      <c r="AC2">
        <f>AVERAGE(Y7:Y9999)</f>
        <v>84.21052631578948</v>
      </c>
    </row>
    <row r="3" spans="2:29">
      <c r="AB3" t="s">
        <v>4</v>
      </c>
      <c r="AC3">
        <f>MAX(C2:U2)</f>
        <v>3</v>
      </c>
    </row>
    <row r="4" spans="2:29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AB4" t="s">
        <v>6</v>
      </c>
      <c r="AC4">
        <f>SUM(Z7:Z9999)</f>
        <v>0</v>
      </c>
    </row>
    <row r="5" spans="2:29">
      <c r="AB5" t="s">
        <v>7</v>
      </c>
      <c r="AC5">
        <f>COUNTIF(Y7:Y9999,"&lt;100")</f>
        <v>3</v>
      </c>
    </row>
    <row r="6" spans="2:29">
      <c r="C6" t="s">
        <v>8</v>
      </c>
      <c r="D6" t="s">
        <v>9</v>
      </c>
      <c r="E6" t="s">
        <v>44</v>
      </c>
      <c r="F6" t="s">
        <v>22</v>
      </c>
      <c r="G6" t="s">
        <v>23</v>
      </c>
      <c r="H6" t="s">
        <v>28</v>
      </c>
      <c r="I6" t="s">
        <v>42</v>
      </c>
      <c r="J6" t="s">
        <v>24</v>
      </c>
      <c r="K6" t="s">
        <v>25</v>
      </c>
      <c r="L6" t="s">
        <v>26</v>
      </c>
      <c r="M6" t="s">
        <v>27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X6" t="s">
        <v>18</v>
      </c>
      <c r="Y6" t="s">
        <v>19</v>
      </c>
      <c r="Z6" t="s">
        <v>20</v>
      </c>
    </row>
    <row r="7" spans="2:29">
      <c r="C7" t="str">
        <f>_xlfn.CONCAT(F7," ",E7," ",G7," ",I7,"ppm/°C ",H7," ",M7," ",U7)</f>
        <v xml:space="preserve">2.5v LM4040 0.5% 100ppm/°C 15mA SMD </v>
      </c>
      <c r="D7" t="str">
        <f>_xlfn.CONCAT(E7," ",F7," ",G7)</f>
        <v>LM4040 2.5v 0.5%</v>
      </c>
      <c r="E7" t="s">
        <v>45</v>
      </c>
      <c r="F7" t="s">
        <v>35</v>
      </c>
      <c r="G7" s="2" t="s">
        <v>46</v>
      </c>
      <c r="H7" t="s">
        <v>40</v>
      </c>
      <c r="I7">
        <v>100</v>
      </c>
      <c r="J7" t="s">
        <v>39</v>
      </c>
      <c r="K7" t="s">
        <v>37</v>
      </c>
      <c r="L7" t="s">
        <v>38</v>
      </c>
      <c r="M7" t="s">
        <v>31</v>
      </c>
      <c r="N7" t="s">
        <v>30</v>
      </c>
      <c r="O7" t="s">
        <v>29</v>
      </c>
      <c r="P7" t="s">
        <v>32</v>
      </c>
      <c r="Q7" t="s">
        <v>33</v>
      </c>
      <c r="R7" t="s">
        <v>34</v>
      </c>
      <c r="X7">
        <f t="shared" ref="X7:X13" si="2">COUNTBLANK(C7:U7)</f>
        <v>3</v>
      </c>
      <c r="Y7">
        <f t="shared" ref="Y7:Y13" si="3">100*COUNTA(C7:U7)/$AC$7</f>
        <v>84.21052631578948</v>
      </c>
      <c r="Z7">
        <f>IF(Y7=100,1,0)</f>
        <v>0</v>
      </c>
      <c r="AB7" t="s">
        <v>21</v>
      </c>
      <c r="AC7">
        <f>SUM(C4:U4)</f>
        <v>19</v>
      </c>
    </row>
    <row r="8" spans="2:29">
      <c r="C8" t="str">
        <f t="shared" ref="C8:C9" si="4">_xlfn.CONCAT(F8," ",E8," ",G8," ",I8,"ppm/°C ",H8," ",M8," ",U8)</f>
        <v xml:space="preserve">2.5v LM4040 1% 150ppm/°C 15mA SMD </v>
      </c>
      <c r="D8" t="str">
        <f t="shared" ref="D8:D9" si="5">_xlfn.CONCAT(E8," ",F8," ",G8)</f>
        <v>LM4040 2.5v 1%</v>
      </c>
      <c r="E8" t="s">
        <v>45</v>
      </c>
      <c r="F8" t="s">
        <v>35</v>
      </c>
      <c r="G8" s="2" t="s">
        <v>47</v>
      </c>
      <c r="H8" t="s">
        <v>40</v>
      </c>
      <c r="I8">
        <v>150</v>
      </c>
      <c r="J8" t="s">
        <v>39</v>
      </c>
      <c r="K8" t="s">
        <v>37</v>
      </c>
      <c r="L8" t="s">
        <v>38</v>
      </c>
      <c r="M8" t="s">
        <v>31</v>
      </c>
      <c r="N8" t="s">
        <v>30</v>
      </c>
      <c r="O8" t="s">
        <v>41</v>
      </c>
      <c r="P8" t="s">
        <v>32</v>
      </c>
      <c r="Q8" t="s">
        <v>43</v>
      </c>
      <c r="R8" t="s">
        <v>34</v>
      </c>
      <c r="X8">
        <f t="shared" si="2"/>
        <v>3</v>
      </c>
      <c r="Y8">
        <f t="shared" si="3"/>
        <v>84.21052631578948</v>
      </c>
      <c r="Z8">
        <f t="shared" ref="Z8:Z13" si="6">IF(Y8=100,1,0)</f>
        <v>0</v>
      </c>
    </row>
    <row r="9" spans="2:29">
      <c r="C9" t="str">
        <f t="shared" si="4"/>
        <v xml:space="preserve">3.3v LM4040 1% 150ppm/°C 15mA SMD </v>
      </c>
      <c r="D9" t="str">
        <f t="shared" si="5"/>
        <v>LM4040 3.3v 1%</v>
      </c>
      <c r="E9" t="s">
        <v>45</v>
      </c>
      <c r="F9" t="s">
        <v>36</v>
      </c>
      <c r="G9" s="2" t="s">
        <v>47</v>
      </c>
      <c r="H9" t="s">
        <v>40</v>
      </c>
      <c r="I9">
        <v>150</v>
      </c>
      <c r="J9" t="s">
        <v>39</v>
      </c>
      <c r="K9" t="s">
        <v>37</v>
      </c>
      <c r="L9" t="s">
        <v>38</v>
      </c>
      <c r="M9" t="s">
        <v>31</v>
      </c>
      <c r="N9" t="s">
        <v>30</v>
      </c>
      <c r="O9" t="s">
        <v>48</v>
      </c>
      <c r="P9" t="s">
        <v>32</v>
      </c>
      <c r="Q9" t="s">
        <v>49</v>
      </c>
      <c r="R9" t="s">
        <v>50</v>
      </c>
      <c r="X9">
        <f t="shared" si="2"/>
        <v>3</v>
      </c>
      <c r="Y9">
        <f t="shared" si="3"/>
        <v>84.21052631578948</v>
      </c>
      <c r="Z9">
        <f t="shared" si="6"/>
        <v>0</v>
      </c>
    </row>
    <row r="10" spans="2:29">
      <c r="G10" s="2"/>
    </row>
    <row r="11" spans="2:29">
      <c r="G11" s="2"/>
    </row>
    <row r="12" spans="2:29">
      <c r="G12" s="2"/>
    </row>
    <row r="13" spans="2:29">
      <c r="G13" s="2"/>
    </row>
    <row r="14" spans="2:29">
      <c r="G14" s="2"/>
    </row>
    <row r="15" spans="2:29">
      <c r="G15" s="2"/>
    </row>
    <row r="16" spans="2:29">
      <c r="G16" s="2"/>
    </row>
    <row r="17" spans="7:7">
      <c r="G17" s="2"/>
    </row>
    <row r="18" spans="7:7">
      <c r="G18" s="2"/>
    </row>
    <row r="19" spans="7:7">
      <c r="G19" s="2"/>
    </row>
    <row r="20" spans="7:7">
      <c r="G20" s="2"/>
    </row>
    <row r="21" spans="7:7">
      <c r="G21" s="2"/>
    </row>
    <row r="22" spans="7:7">
      <c r="G22" s="2"/>
    </row>
    <row r="23" spans="7:7">
      <c r="G23" s="2"/>
    </row>
    <row r="24" spans="7:7">
      <c r="G24" s="2"/>
    </row>
    <row r="25" spans="7:7">
      <c r="G25" s="2"/>
    </row>
    <row r="26" spans="7:7">
      <c r="G26" s="2"/>
    </row>
    <row r="27" spans="7:7">
      <c r="G27" s="2"/>
    </row>
    <row r="28" spans="7:7">
      <c r="G28" s="2"/>
    </row>
    <row r="29" spans="7:7">
      <c r="G29" s="2"/>
    </row>
    <row r="30" spans="7:7">
      <c r="G30" s="2"/>
    </row>
    <row r="31" spans="7:7">
      <c r="G31" s="2"/>
    </row>
    <row r="32" spans="7:7">
      <c r="G32" s="2"/>
    </row>
    <row r="33" spans="7:7">
      <c r="G33" s="2"/>
    </row>
    <row r="34" spans="7:7">
      <c r="G34" s="2"/>
    </row>
    <row r="35" spans="7:7">
      <c r="G35" s="2"/>
    </row>
    <row r="36" spans="7:7">
      <c r="G36" s="2"/>
    </row>
    <row r="37" spans="7:7">
      <c r="G37" s="2"/>
    </row>
    <row r="38" spans="7:7">
      <c r="G38" s="2"/>
    </row>
    <row r="39" spans="7:7">
      <c r="G39" s="2"/>
    </row>
    <row r="40" spans="7:7">
      <c r="G40" s="2"/>
    </row>
    <row r="41" spans="7:7">
      <c r="G41" s="2"/>
    </row>
    <row r="42" spans="7:7">
      <c r="G42" s="2"/>
    </row>
    <row r="43" spans="7:7">
      <c r="G43" s="2"/>
    </row>
    <row r="44" spans="7:7">
      <c r="G44" s="2"/>
    </row>
    <row r="45" spans="7:7">
      <c r="G45" s="2"/>
    </row>
    <row r="46" spans="7:7">
      <c r="G46" s="2"/>
    </row>
    <row r="47" spans="7:7">
      <c r="G47" s="2"/>
    </row>
    <row r="48" spans="7:7">
      <c r="G48" s="2"/>
    </row>
    <row r="49" spans="7:7">
      <c r="G49" s="2"/>
    </row>
    <row r="50" spans="7:7">
      <c r="G50" s="2"/>
    </row>
  </sheetData>
  <conditionalFormatting sqref="C7:U48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2026-01-09T00:09:07Z</dcterms:modified>
</cp:coreProperties>
</file>