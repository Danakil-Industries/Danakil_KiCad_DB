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15DCAE9D-65FF-4EED-8672-7CC368A87C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Y12" i="1"/>
  <c r="Z12" i="1"/>
  <c r="AA12" i="1"/>
  <c r="AB12" i="1"/>
  <c r="AC12" i="1"/>
  <c r="AD12" i="1"/>
  <c r="AE12" i="1"/>
  <c r="X21" i="1"/>
  <c r="Y21" i="1"/>
  <c r="Z21" i="1"/>
  <c r="AA21" i="1"/>
  <c r="AB21" i="1"/>
  <c r="AC21" i="1"/>
  <c r="AD21" i="1"/>
  <c r="AE21" i="1"/>
  <c r="X24" i="1"/>
  <c r="Y24" i="1"/>
  <c r="Z24" i="1"/>
  <c r="AA24" i="1"/>
  <c r="AB24" i="1"/>
  <c r="AC24" i="1"/>
  <c r="AD24" i="1"/>
  <c r="AE24" i="1"/>
  <c r="X26" i="1"/>
  <c r="Y26" i="1"/>
  <c r="Z26" i="1"/>
  <c r="AA26" i="1"/>
  <c r="AB26" i="1"/>
  <c r="AC26" i="1"/>
  <c r="AD26" i="1"/>
  <c r="AE26" i="1"/>
  <c r="X25" i="1"/>
  <c r="Y25" i="1"/>
  <c r="Z25" i="1"/>
  <c r="AA25" i="1"/>
  <c r="AB25" i="1"/>
  <c r="AC25" i="1"/>
  <c r="AD25" i="1"/>
  <c r="AE25" i="1"/>
  <c r="X45" i="1"/>
  <c r="Y45" i="1"/>
  <c r="Z45" i="1"/>
  <c r="AA45" i="1"/>
  <c r="AB45" i="1"/>
  <c r="AC45" i="1"/>
  <c r="AD45" i="1"/>
  <c r="AE45" i="1"/>
  <c r="X50" i="1"/>
  <c r="Y50" i="1"/>
  <c r="Z50" i="1"/>
  <c r="AA50" i="1"/>
  <c r="AB50" i="1"/>
  <c r="AC50" i="1"/>
  <c r="AD50" i="1"/>
  <c r="AE50" i="1"/>
  <c r="X29" i="1"/>
  <c r="Y29" i="1"/>
  <c r="Z29" i="1"/>
  <c r="AA29" i="1"/>
  <c r="AB29" i="1"/>
  <c r="AC29" i="1"/>
  <c r="AD29" i="1"/>
  <c r="AE29" i="1"/>
  <c r="X28" i="1"/>
  <c r="Y28" i="1"/>
  <c r="Z28" i="1"/>
  <c r="AA28" i="1"/>
  <c r="AB28" i="1"/>
  <c r="AC28" i="1"/>
  <c r="AD28" i="1"/>
  <c r="AE28" i="1"/>
  <c r="X14" i="1"/>
  <c r="Y14" i="1"/>
  <c r="Z14" i="1"/>
  <c r="AA14" i="1"/>
  <c r="AB14" i="1"/>
  <c r="AC14" i="1"/>
  <c r="AD14" i="1"/>
  <c r="AE14" i="1"/>
  <c r="X30" i="1"/>
  <c r="Y30" i="1"/>
  <c r="Z30" i="1"/>
  <c r="AA30" i="1"/>
  <c r="AB30" i="1"/>
  <c r="AC30" i="1"/>
  <c r="AD30" i="1"/>
  <c r="AE30" i="1"/>
  <c r="X49" i="1"/>
  <c r="Y49" i="1"/>
  <c r="Z49" i="1"/>
  <c r="AA49" i="1"/>
  <c r="AB49" i="1"/>
  <c r="AC49" i="1"/>
  <c r="AD49" i="1"/>
  <c r="AE49" i="1"/>
  <c r="X107" i="1"/>
  <c r="Y107" i="1"/>
  <c r="Z107" i="1"/>
  <c r="AA107" i="1"/>
  <c r="AB107" i="1"/>
  <c r="AC107" i="1"/>
  <c r="AD107" i="1"/>
  <c r="AE107" i="1"/>
  <c r="X108" i="1"/>
  <c r="Y108" i="1"/>
  <c r="Z108" i="1"/>
  <c r="AA108" i="1"/>
  <c r="AB108" i="1"/>
  <c r="AC108" i="1"/>
  <c r="AD108" i="1"/>
  <c r="AE108" i="1"/>
  <c r="X114" i="1"/>
  <c r="Y114" i="1"/>
  <c r="Z114" i="1"/>
  <c r="AA114" i="1"/>
  <c r="AB114" i="1"/>
  <c r="AC114" i="1"/>
  <c r="AD114" i="1"/>
  <c r="AE114" i="1"/>
  <c r="X56" i="1"/>
  <c r="Y56" i="1"/>
  <c r="Z56" i="1"/>
  <c r="AA56" i="1"/>
  <c r="AB56" i="1"/>
  <c r="AC56" i="1"/>
  <c r="AD56" i="1"/>
  <c r="AE56" i="1"/>
  <c r="H12" i="1" l="1"/>
  <c r="H21" i="1"/>
  <c r="H26" i="1"/>
  <c r="H25" i="1"/>
  <c r="H24" i="1"/>
  <c r="H45" i="1"/>
  <c r="H50" i="1"/>
  <c r="H30" i="1"/>
  <c r="H28" i="1"/>
  <c r="H107" i="1"/>
  <c r="H14" i="1"/>
  <c r="H29" i="1"/>
  <c r="H49" i="1"/>
  <c r="H108" i="1"/>
  <c r="H114" i="1"/>
  <c r="H56" i="1"/>
  <c r="X123" i="1"/>
  <c r="Y123" i="1"/>
  <c r="Z123" i="1"/>
  <c r="AA123" i="1"/>
  <c r="AB123" i="1"/>
  <c r="AC123" i="1"/>
  <c r="AD123" i="1"/>
  <c r="AE123" i="1"/>
  <c r="X89" i="1"/>
  <c r="Y89" i="1"/>
  <c r="Z89" i="1"/>
  <c r="AA89" i="1"/>
  <c r="AB89" i="1"/>
  <c r="AC89" i="1"/>
  <c r="AD89" i="1"/>
  <c r="AE89" i="1"/>
  <c r="X52" i="1"/>
  <c r="Y52" i="1"/>
  <c r="Z52" i="1"/>
  <c r="AA52" i="1"/>
  <c r="AB52" i="1"/>
  <c r="AC52" i="1"/>
  <c r="AD52" i="1"/>
  <c r="AE52" i="1"/>
  <c r="X133" i="1"/>
  <c r="Y133" i="1"/>
  <c r="Z133" i="1"/>
  <c r="AA133" i="1"/>
  <c r="AB133" i="1"/>
  <c r="AC133" i="1"/>
  <c r="AD133" i="1"/>
  <c r="AE133" i="1"/>
  <c r="X126" i="1"/>
  <c r="Y126" i="1"/>
  <c r="Z126" i="1"/>
  <c r="AA126" i="1"/>
  <c r="AB126" i="1"/>
  <c r="AC126" i="1"/>
  <c r="AD126" i="1"/>
  <c r="AE126" i="1"/>
  <c r="X153" i="1"/>
  <c r="Y153" i="1"/>
  <c r="Z153" i="1"/>
  <c r="AA153" i="1"/>
  <c r="AB153" i="1"/>
  <c r="AC153" i="1"/>
  <c r="AD153" i="1"/>
  <c r="AE153" i="1"/>
  <c r="X134" i="1"/>
  <c r="Y134" i="1"/>
  <c r="Z134" i="1"/>
  <c r="AA134" i="1"/>
  <c r="AB134" i="1"/>
  <c r="AC134" i="1"/>
  <c r="AD134" i="1"/>
  <c r="AE134" i="1"/>
  <c r="X122" i="1"/>
  <c r="Y122" i="1"/>
  <c r="Z122" i="1"/>
  <c r="AA122" i="1"/>
  <c r="AB122" i="1"/>
  <c r="AC122" i="1"/>
  <c r="AD122" i="1"/>
  <c r="AE122" i="1"/>
  <c r="X17" i="1"/>
  <c r="Y17" i="1"/>
  <c r="Z17" i="1"/>
  <c r="AA17" i="1"/>
  <c r="AB17" i="1"/>
  <c r="AC17" i="1"/>
  <c r="AD17" i="1"/>
  <c r="AE17" i="1"/>
  <c r="X140" i="1"/>
  <c r="Y140" i="1"/>
  <c r="Z140" i="1"/>
  <c r="AA140" i="1"/>
  <c r="AB140" i="1"/>
  <c r="AC140" i="1"/>
  <c r="AD140" i="1"/>
  <c r="AE140" i="1"/>
  <c r="H122" i="1" l="1"/>
  <c r="H89" i="1"/>
  <c r="H17" i="1"/>
  <c r="H52" i="1"/>
  <c r="H140" i="1"/>
  <c r="H123" i="1"/>
  <c r="H133" i="1"/>
  <c r="H126" i="1"/>
  <c r="H153" i="1"/>
  <c r="H134" i="1"/>
  <c r="X96" i="1"/>
  <c r="Y96" i="1"/>
  <c r="Z96" i="1"/>
  <c r="AA96" i="1"/>
  <c r="AB96" i="1"/>
  <c r="AC96" i="1"/>
  <c r="AD96" i="1"/>
  <c r="AE96" i="1"/>
  <c r="X20" i="1"/>
  <c r="Y20" i="1"/>
  <c r="Z20" i="1"/>
  <c r="AA20" i="1"/>
  <c r="AB20" i="1"/>
  <c r="AC20" i="1"/>
  <c r="AD20" i="1"/>
  <c r="AE20" i="1"/>
  <c r="X152" i="1"/>
  <c r="Y152" i="1"/>
  <c r="Z152" i="1"/>
  <c r="AA152" i="1"/>
  <c r="AB152" i="1"/>
  <c r="AC152" i="1"/>
  <c r="AD152" i="1"/>
  <c r="AE152" i="1"/>
  <c r="X118" i="1"/>
  <c r="Y118" i="1"/>
  <c r="Z118" i="1"/>
  <c r="AA118" i="1"/>
  <c r="AB118" i="1"/>
  <c r="AC118" i="1"/>
  <c r="AD118" i="1"/>
  <c r="AE118" i="1"/>
  <c r="X121" i="1"/>
  <c r="Y121" i="1"/>
  <c r="Z121" i="1"/>
  <c r="AA121" i="1"/>
  <c r="AB121" i="1"/>
  <c r="AC121" i="1"/>
  <c r="AD121" i="1"/>
  <c r="AE121" i="1"/>
  <c r="X37" i="1"/>
  <c r="Y37" i="1"/>
  <c r="Z37" i="1"/>
  <c r="AA37" i="1"/>
  <c r="AB37" i="1"/>
  <c r="AC37" i="1"/>
  <c r="AD37" i="1"/>
  <c r="AE37" i="1"/>
  <c r="X151" i="1"/>
  <c r="Y151" i="1"/>
  <c r="Z151" i="1"/>
  <c r="AA151" i="1"/>
  <c r="AB151" i="1"/>
  <c r="AC151" i="1"/>
  <c r="AD151" i="1"/>
  <c r="AE151" i="1"/>
  <c r="H151" i="1" l="1"/>
  <c r="H96" i="1"/>
  <c r="H20" i="1"/>
  <c r="H121" i="1"/>
  <c r="H37" i="1"/>
  <c r="H152" i="1"/>
  <c r="H118" i="1"/>
  <c r="E18" i="1"/>
  <c r="X65" i="1"/>
  <c r="Y65" i="1"/>
  <c r="Z65" i="1"/>
  <c r="AA65" i="1"/>
  <c r="AB65" i="1"/>
  <c r="AC65" i="1"/>
  <c r="AD65" i="1"/>
  <c r="AE65" i="1"/>
  <c r="X59" i="1"/>
  <c r="Y59" i="1"/>
  <c r="Z59" i="1"/>
  <c r="AA59" i="1"/>
  <c r="AB59" i="1"/>
  <c r="AC59" i="1"/>
  <c r="AD59" i="1"/>
  <c r="AE59" i="1"/>
  <c r="X69" i="1"/>
  <c r="Y69" i="1"/>
  <c r="Z69" i="1"/>
  <c r="AA69" i="1"/>
  <c r="AB69" i="1"/>
  <c r="AC69" i="1"/>
  <c r="AD69" i="1"/>
  <c r="AE69" i="1"/>
  <c r="X64" i="1"/>
  <c r="Y64" i="1"/>
  <c r="Z64" i="1"/>
  <c r="AA64" i="1"/>
  <c r="AB64" i="1"/>
  <c r="AC64" i="1"/>
  <c r="AD64" i="1"/>
  <c r="AE64" i="1"/>
  <c r="X60" i="1"/>
  <c r="Y60" i="1"/>
  <c r="Z60" i="1"/>
  <c r="AA60" i="1"/>
  <c r="AB60" i="1"/>
  <c r="AC60" i="1"/>
  <c r="AD60" i="1"/>
  <c r="AE60" i="1"/>
  <c r="X62" i="1"/>
  <c r="Y62" i="1"/>
  <c r="Z62" i="1"/>
  <c r="AA62" i="1"/>
  <c r="AB62" i="1"/>
  <c r="AC62" i="1"/>
  <c r="AD62" i="1"/>
  <c r="AE62" i="1"/>
  <c r="X61" i="1"/>
  <c r="Y61" i="1"/>
  <c r="Z61" i="1"/>
  <c r="AA61" i="1"/>
  <c r="AB61" i="1"/>
  <c r="AC61" i="1"/>
  <c r="AD61" i="1"/>
  <c r="AE61" i="1"/>
  <c r="X63" i="1"/>
  <c r="Y63" i="1"/>
  <c r="Z63" i="1"/>
  <c r="AA63" i="1"/>
  <c r="AB63" i="1"/>
  <c r="AC63" i="1"/>
  <c r="AD63" i="1"/>
  <c r="AE63" i="1"/>
  <c r="X66" i="1"/>
  <c r="Y66" i="1"/>
  <c r="Z66" i="1"/>
  <c r="AA66" i="1"/>
  <c r="AB66" i="1"/>
  <c r="AC66" i="1"/>
  <c r="AD66" i="1"/>
  <c r="AE66" i="1"/>
  <c r="X67" i="1"/>
  <c r="Y67" i="1"/>
  <c r="Z67" i="1"/>
  <c r="AA67" i="1"/>
  <c r="AB67" i="1"/>
  <c r="AC67" i="1"/>
  <c r="AD67" i="1"/>
  <c r="AE67" i="1"/>
  <c r="X68" i="1"/>
  <c r="Y68" i="1"/>
  <c r="Z68" i="1"/>
  <c r="AA68" i="1"/>
  <c r="AB68" i="1"/>
  <c r="AC68" i="1"/>
  <c r="AD68" i="1"/>
  <c r="AE68" i="1"/>
  <c r="X70" i="1"/>
  <c r="Y70" i="1"/>
  <c r="Z70" i="1"/>
  <c r="AA70" i="1"/>
  <c r="AB70" i="1"/>
  <c r="AC70" i="1"/>
  <c r="AD70" i="1"/>
  <c r="AE70" i="1"/>
  <c r="X71" i="1"/>
  <c r="Y71" i="1"/>
  <c r="Z71" i="1"/>
  <c r="AA71" i="1"/>
  <c r="AB71" i="1"/>
  <c r="AC71" i="1"/>
  <c r="AD71" i="1"/>
  <c r="AE71" i="1"/>
  <c r="X72" i="1"/>
  <c r="Y72" i="1"/>
  <c r="Z72" i="1"/>
  <c r="AA72" i="1"/>
  <c r="AB72" i="1"/>
  <c r="AC72" i="1"/>
  <c r="AD72" i="1"/>
  <c r="AE72" i="1"/>
  <c r="X73" i="1"/>
  <c r="Y73" i="1"/>
  <c r="Z73" i="1"/>
  <c r="AA73" i="1"/>
  <c r="AB73" i="1"/>
  <c r="AC73" i="1"/>
  <c r="AD73" i="1"/>
  <c r="AE73" i="1"/>
  <c r="X79" i="1"/>
  <c r="Y79" i="1"/>
  <c r="Z79" i="1"/>
  <c r="AA79" i="1"/>
  <c r="AB79" i="1"/>
  <c r="AC79" i="1"/>
  <c r="AD79" i="1"/>
  <c r="AE79" i="1"/>
  <c r="X75" i="1"/>
  <c r="Y75" i="1"/>
  <c r="Z75" i="1"/>
  <c r="AA75" i="1"/>
  <c r="AB75" i="1"/>
  <c r="AC75" i="1"/>
  <c r="AD75" i="1"/>
  <c r="AE75" i="1"/>
  <c r="X27" i="1"/>
  <c r="Y27" i="1"/>
  <c r="Z27" i="1"/>
  <c r="AA27" i="1"/>
  <c r="AB27" i="1"/>
  <c r="AC27" i="1"/>
  <c r="AD27" i="1"/>
  <c r="AE27" i="1"/>
  <c r="X77" i="1"/>
  <c r="Y77" i="1"/>
  <c r="Z77" i="1"/>
  <c r="AA77" i="1"/>
  <c r="AB77" i="1"/>
  <c r="AC77" i="1"/>
  <c r="AD77" i="1"/>
  <c r="AE77" i="1"/>
  <c r="X80" i="1"/>
  <c r="Y80" i="1"/>
  <c r="Z80" i="1"/>
  <c r="AA80" i="1"/>
  <c r="AB80" i="1"/>
  <c r="AC80" i="1"/>
  <c r="AD80" i="1"/>
  <c r="AE80" i="1"/>
  <c r="X13" i="1"/>
  <c r="Y13" i="1"/>
  <c r="Z13" i="1"/>
  <c r="AA13" i="1"/>
  <c r="AB13" i="1"/>
  <c r="AC13" i="1"/>
  <c r="AD13" i="1"/>
  <c r="AE13" i="1"/>
  <c r="H65" i="1" l="1"/>
  <c r="H64" i="1"/>
  <c r="H27" i="1"/>
  <c r="H70" i="1"/>
  <c r="H66" i="1"/>
  <c r="H69" i="1"/>
  <c r="H71" i="1"/>
  <c r="H77" i="1"/>
  <c r="H67" i="1"/>
  <c r="H61" i="1"/>
  <c r="H79" i="1"/>
  <c r="H80" i="1"/>
  <c r="H75" i="1"/>
  <c r="H72" i="1"/>
  <c r="H68" i="1"/>
  <c r="H63" i="1"/>
  <c r="H60" i="1"/>
  <c r="H59" i="1"/>
  <c r="H13" i="1"/>
  <c r="H73" i="1"/>
  <c r="H62" i="1"/>
  <c r="S6" i="1"/>
  <c r="X44" i="1"/>
  <c r="Y44" i="1"/>
  <c r="Z44" i="1"/>
  <c r="AA44" i="1"/>
  <c r="AB44" i="1"/>
  <c r="AC44" i="1"/>
  <c r="AD44" i="1"/>
  <c r="AE44" i="1"/>
  <c r="X136" i="1"/>
  <c r="Y136" i="1"/>
  <c r="Z136" i="1"/>
  <c r="AA136" i="1"/>
  <c r="AB136" i="1"/>
  <c r="AC136" i="1"/>
  <c r="AD136" i="1"/>
  <c r="AE136" i="1"/>
  <c r="H44" i="1" l="1"/>
  <c r="H136" i="1"/>
  <c r="X135" i="1"/>
  <c r="Y135" i="1"/>
  <c r="Z135" i="1"/>
  <c r="AA135" i="1"/>
  <c r="AB135" i="1"/>
  <c r="AC135" i="1"/>
  <c r="AD135" i="1"/>
  <c r="AE135" i="1"/>
  <c r="X149" i="1"/>
  <c r="Y149" i="1"/>
  <c r="Z149" i="1"/>
  <c r="AA149" i="1"/>
  <c r="AB149" i="1"/>
  <c r="AC149" i="1"/>
  <c r="AD149" i="1"/>
  <c r="AE149" i="1"/>
  <c r="X150" i="1"/>
  <c r="Y150" i="1"/>
  <c r="Z150" i="1"/>
  <c r="AA150" i="1"/>
  <c r="AB150" i="1"/>
  <c r="AC150" i="1"/>
  <c r="AD150" i="1"/>
  <c r="AE150" i="1"/>
  <c r="X43" i="1"/>
  <c r="Y43" i="1"/>
  <c r="Z43" i="1"/>
  <c r="AA43" i="1"/>
  <c r="AB43" i="1"/>
  <c r="AC43" i="1"/>
  <c r="AD43" i="1"/>
  <c r="AE43" i="1"/>
  <c r="E15" i="1"/>
  <c r="E14" i="1"/>
  <c r="Q5" i="1"/>
  <c r="E9" i="1" s="1"/>
  <c r="R5" i="1"/>
  <c r="E10" i="1" s="1"/>
  <c r="S5" i="1"/>
  <c r="E11" i="1" s="1"/>
  <c r="T5" i="1"/>
  <c r="E12" i="1" s="1"/>
  <c r="U5" i="1"/>
  <c r="E13" i="1" s="1"/>
  <c r="V5" i="1"/>
  <c r="P5" i="1"/>
  <c r="E8" i="1" s="1"/>
  <c r="X157" i="1"/>
  <c r="X156" i="1"/>
  <c r="X147" i="1"/>
  <c r="X146" i="1"/>
  <c r="X137" i="1"/>
  <c r="X131" i="1"/>
  <c r="X130" i="1"/>
  <c r="X129" i="1"/>
  <c r="X124" i="1"/>
  <c r="X120" i="1"/>
  <c r="X119" i="1"/>
  <c r="X125" i="1"/>
  <c r="X32" i="1"/>
  <c r="X31" i="1"/>
  <c r="X94" i="1"/>
  <c r="X145" i="1"/>
  <c r="X148" i="1"/>
  <c r="X19" i="1"/>
  <c r="X106" i="1"/>
  <c r="X105" i="1"/>
  <c r="X109" i="1"/>
  <c r="X95" i="1"/>
  <c r="X18" i="1"/>
  <c r="X97" i="1"/>
  <c r="X98" i="1"/>
  <c r="X99" i="1"/>
  <c r="X100" i="1"/>
  <c r="X101" i="1"/>
  <c r="X102" i="1"/>
  <c r="X103" i="1"/>
  <c r="X104" i="1"/>
  <c r="X92" i="1"/>
  <c r="X91" i="1"/>
  <c r="X93" i="1"/>
  <c r="X128" i="1"/>
  <c r="X48" i="1"/>
  <c r="X33" i="1"/>
  <c r="X127" i="1"/>
  <c r="X36" i="1"/>
  <c r="X35" i="1"/>
  <c r="X22" i="1"/>
  <c r="X23" i="1"/>
  <c r="X90" i="1"/>
  <c r="X144" i="1"/>
  <c r="X143" i="1"/>
  <c r="X86" i="1"/>
  <c r="X88" i="1"/>
  <c r="X85" i="1"/>
  <c r="X87" i="1"/>
  <c r="X46" i="1"/>
  <c r="X47" i="1"/>
  <c r="X53" i="1"/>
  <c r="X54" i="1"/>
  <c r="X55" i="1"/>
  <c r="X138" i="1"/>
  <c r="X51" i="1"/>
  <c r="X139" i="1"/>
  <c r="X141" i="1"/>
  <c r="X82" i="1"/>
  <c r="X81" i="1"/>
  <c r="X57" i="1"/>
  <c r="X15" i="1"/>
  <c r="X58" i="1"/>
  <c r="X16" i="1"/>
  <c r="X83" i="1"/>
  <c r="X84" i="1"/>
  <c r="X142" i="1"/>
  <c r="X78" i="1"/>
  <c r="X76" i="1"/>
  <c r="X74" i="1"/>
  <c r="X155" i="1"/>
  <c r="X116" i="1"/>
  <c r="X154" i="1"/>
  <c r="X113" i="1"/>
  <c r="X115" i="1"/>
  <c r="X112" i="1"/>
  <c r="X110" i="1"/>
  <c r="X111" i="1"/>
  <c r="X39" i="1"/>
  <c r="X40" i="1"/>
  <c r="X38" i="1"/>
  <c r="X41" i="1"/>
  <c r="X132" i="1"/>
  <c r="X42" i="1"/>
  <c r="X117" i="1"/>
  <c r="Y38" i="1"/>
  <c r="Y41" i="1"/>
  <c r="Y132" i="1"/>
  <c r="Y42" i="1"/>
  <c r="Z38" i="1"/>
  <c r="Z41" i="1"/>
  <c r="Z132" i="1"/>
  <c r="Z42" i="1"/>
  <c r="AA38" i="1"/>
  <c r="AA41" i="1"/>
  <c r="AA132" i="1"/>
  <c r="AA42" i="1"/>
  <c r="AB38" i="1"/>
  <c r="AB41" i="1"/>
  <c r="AB132" i="1"/>
  <c r="AB42" i="1"/>
  <c r="AC38" i="1"/>
  <c r="AC41" i="1"/>
  <c r="AC132" i="1"/>
  <c r="AC42" i="1"/>
  <c r="AD38" i="1"/>
  <c r="AD41" i="1"/>
  <c r="AD132" i="1"/>
  <c r="AD42" i="1"/>
  <c r="AE38" i="1"/>
  <c r="AE41" i="1"/>
  <c r="AE132" i="1"/>
  <c r="AE42" i="1"/>
  <c r="Y40" i="1"/>
  <c r="Z40" i="1"/>
  <c r="AA40" i="1"/>
  <c r="AB40" i="1"/>
  <c r="AC40" i="1"/>
  <c r="AD40" i="1"/>
  <c r="AE40" i="1"/>
  <c r="Y39" i="1"/>
  <c r="Z39" i="1"/>
  <c r="AA39" i="1"/>
  <c r="AB39" i="1"/>
  <c r="AC39" i="1"/>
  <c r="AD39" i="1"/>
  <c r="AE39" i="1"/>
  <c r="Y115" i="1"/>
  <c r="Y112" i="1"/>
  <c r="Y110" i="1"/>
  <c r="Y111" i="1"/>
  <c r="Z115" i="1"/>
  <c r="Z112" i="1"/>
  <c r="Z110" i="1"/>
  <c r="Z111" i="1"/>
  <c r="AA115" i="1"/>
  <c r="AA112" i="1"/>
  <c r="AA110" i="1"/>
  <c r="AA111" i="1"/>
  <c r="AB115" i="1"/>
  <c r="AB112" i="1"/>
  <c r="AB110" i="1"/>
  <c r="AB111" i="1"/>
  <c r="AC115" i="1"/>
  <c r="AC112" i="1"/>
  <c r="AC110" i="1"/>
  <c r="AC111" i="1"/>
  <c r="AD115" i="1"/>
  <c r="AD112" i="1"/>
  <c r="AD110" i="1"/>
  <c r="AD111" i="1"/>
  <c r="AE115" i="1"/>
  <c r="AE112" i="1"/>
  <c r="AE110" i="1"/>
  <c r="AE111" i="1"/>
  <c r="Y116" i="1"/>
  <c r="Y154" i="1"/>
  <c r="Y113" i="1"/>
  <c r="Z116" i="1"/>
  <c r="Z154" i="1"/>
  <c r="Z113" i="1"/>
  <c r="AA116" i="1"/>
  <c r="AA154" i="1"/>
  <c r="AA113" i="1"/>
  <c r="AB116" i="1"/>
  <c r="AB154" i="1"/>
  <c r="AB113" i="1"/>
  <c r="AC116" i="1"/>
  <c r="AC154" i="1"/>
  <c r="AC113" i="1"/>
  <c r="AD116" i="1"/>
  <c r="AD154" i="1"/>
  <c r="AD113" i="1"/>
  <c r="AE116" i="1"/>
  <c r="AE154" i="1"/>
  <c r="AE113" i="1"/>
  <c r="Y155" i="1"/>
  <c r="Z155" i="1"/>
  <c r="AA155" i="1"/>
  <c r="AB155" i="1"/>
  <c r="AC155" i="1"/>
  <c r="AD155" i="1"/>
  <c r="AE155" i="1"/>
  <c r="Y78" i="1"/>
  <c r="Y76" i="1"/>
  <c r="Y74" i="1"/>
  <c r="Z78" i="1"/>
  <c r="Z76" i="1"/>
  <c r="Z74" i="1"/>
  <c r="AA78" i="1"/>
  <c r="AA76" i="1"/>
  <c r="AA74" i="1"/>
  <c r="AB78" i="1"/>
  <c r="AB76" i="1"/>
  <c r="AB74" i="1"/>
  <c r="AC78" i="1"/>
  <c r="AC76" i="1"/>
  <c r="AC74" i="1"/>
  <c r="AD78" i="1"/>
  <c r="AD76" i="1"/>
  <c r="AD74" i="1"/>
  <c r="AE78" i="1"/>
  <c r="AE76" i="1"/>
  <c r="AE74" i="1"/>
  <c r="Y58" i="1"/>
  <c r="Y16" i="1"/>
  <c r="Y83" i="1"/>
  <c r="Y84" i="1"/>
  <c r="Y142" i="1"/>
  <c r="Z58" i="1"/>
  <c r="Z16" i="1"/>
  <c r="Z83" i="1"/>
  <c r="Z84" i="1"/>
  <c r="Z142" i="1"/>
  <c r="AA58" i="1"/>
  <c r="AA16" i="1"/>
  <c r="AA83" i="1"/>
  <c r="AA84" i="1"/>
  <c r="AA142" i="1"/>
  <c r="AB58" i="1"/>
  <c r="AB16" i="1"/>
  <c r="AB83" i="1"/>
  <c r="AB84" i="1"/>
  <c r="AB142" i="1"/>
  <c r="AC58" i="1"/>
  <c r="AC16" i="1"/>
  <c r="AC83" i="1"/>
  <c r="AC84" i="1"/>
  <c r="AC142" i="1"/>
  <c r="AD58" i="1"/>
  <c r="AD16" i="1"/>
  <c r="AD83" i="1"/>
  <c r="AD84" i="1"/>
  <c r="AD142" i="1"/>
  <c r="AE58" i="1"/>
  <c r="AE16" i="1"/>
  <c r="AE83" i="1"/>
  <c r="AE84" i="1"/>
  <c r="AE142" i="1"/>
  <c r="Y141" i="1"/>
  <c r="Y82" i="1"/>
  <c r="Y81" i="1"/>
  <c r="Y57" i="1"/>
  <c r="Y15" i="1"/>
  <c r="Z141" i="1"/>
  <c r="Z82" i="1"/>
  <c r="Z81" i="1"/>
  <c r="Z57" i="1"/>
  <c r="Z15" i="1"/>
  <c r="AA141" i="1"/>
  <c r="AA82" i="1"/>
  <c r="AA81" i="1"/>
  <c r="AA57" i="1"/>
  <c r="AA15" i="1"/>
  <c r="AB141" i="1"/>
  <c r="AB82" i="1"/>
  <c r="AB81" i="1"/>
  <c r="AB57" i="1"/>
  <c r="AB15" i="1"/>
  <c r="AC141" i="1"/>
  <c r="AC82" i="1"/>
  <c r="AC81" i="1"/>
  <c r="AC57" i="1"/>
  <c r="AC15" i="1"/>
  <c r="AD141" i="1"/>
  <c r="AD82" i="1"/>
  <c r="AD81" i="1"/>
  <c r="AD57" i="1"/>
  <c r="AD15" i="1"/>
  <c r="AE141" i="1"/>
  <c r="AE82" i="1"/>
  <c r="AE81" i="1"/>
  <c r="AE57" i="1"/>
  <c r="AE15" i="1"/>
  <c r="Y54" i="1"/>
  <c r="Y55" i="1"/>
  <c r="Y138" i="1"/>
  <c r="Y51" i="1"/>
  <c r="Y139" i="1"/>
  <c r="Z54" i="1"/>
  <c r="Z55" i="1"/>
  <c r="Z138" i="1"/>
  <c r="Z51" i="1"/>
  <c r="Z139" i="1"/>
  <c r="AA54" i="1"/>
  <c r="AA55" i="1"/>
  <c r="AA138" i="1"/>
  <c r="AA51" i="1"/>
  <c r="AA139" i="1"/>
  <c r="AB54" i="1"/>
  <c r="AB55" i="1"/>
  <c r="AB138" i="1"/>
  <c r="AB51" i="1"/>
  <c r="AB139" i="1"/>
  <c r="AC54" i="1"/>
  <c r="AC55" i="1"/>
  <c r="AC138" i="1"/>
  <c r="AC51" i="1"/>
  <c r="AC139" i="1"/>
  <c r="AD54" i="1"/>
  <c r="AD55" i="1"/>
  <c r="AD138" i="1"/>
  <c r="AD51" i="1"/>
  <c r="AD139" i="1"/>
  <c r="AE54" i="1"/>
  <c r="AE55" i="1"/>
  <c r="AE138" i="1"/>
  <c r="AE51" i="1"/>
  <c r="AE139" i="1"/>
  <c r="Y53" i="1"/>
  <c r="Z53" i="1"/>
  <c r="AA53" i="1"/>
  <c r="AB53" i="1"/>
  <c r="AC53" i="1"/>
  <c r="AD53" i="1"/>
  <c r="AE53" i="1"/>
  <c r="Y47" i="1"/>
  <c r="Z47" i="1"/>
  <c r="AA47" i="1"/>
  <c r="AB47" i="1"/>
  <c r="AC47" i="1"/>
  <c r="AD47" i="1"/>
  <c r="AE47" i="1"/>
  <c r="Y46" i="1"/>
  <c r="Z46" i="1"/>
  <c r="AA46" i="1"/>
  <c r="AB46" i="1"/>
  <c r="AC46" i="1"/>
  <c r="AD46" i="1"/>
  <c r="AE46" i="1"/>
  <c r="Y87" i="1"/>
  <c r="Z87" i="1"/>
  <c r="AA87" i="1"/>
  <c r="AB87" i="1"/>
  <c r="AC87" i="1"/>
  <c r="AD87" i="1"/>
  <c r="AE87" i="1"/>
  <c r="Y85" i="1"/>
  <c r="Z85" i="1"/>
  <c r="AA85" i="1"/>
  <c r="AB85" i="1"/>
  <c r="AC85" i="1"/>
  <c r="AD85" i="1"/>
  <c r="AE85" i="1"/>
  <c r="Y88" i="1"/>
  <c r="Z88" i="1"/>
  <c r="AA88" i="1"/>
  <c r="AB88" i="1"/>
  <c r="AC88" i="1"/>
  <c r="AD88" i="1"/>
  <c r="AE88" i="1"/>
  <c r="Y86" i="1"/>
  <c r="Z86" i="1"/>
  <c r="AA86" i="1"/>
  <c r="AB86" i="1"/>
  <c r="AC86" i="1"/>
  <c r="AD86" i="1"/>
  <c r="AE86" i="1"/>
  <c r="Y143" i="1"/>
  <c r="Z143" i="1"/>
  <c r="AA143" i="1"/>
  <c r="AB143" i="1"/>
  <c r="AC143" i="1"/>
  <c r="AD143" i="1"/>
  <c r="AE143" i="1"/>
  <c r="Y144" i="1"/>
  <c r="Z144" i="1"/>
  <c r="AA144" i="1"/>
  <c r="AB144" i="1"/>
  <c r="AC144" i="1"/>
  <c r="AD144" i="1"/>
  <c r="AE144" i="1"/>
  <c r="Y90" i="1"/>
  <c r="Z90" i="1"/>
  <c r="AA90" i="1"/>
  <c r="AB90" i="1"/>
  <c r="AC90" i="1"/>
  <c r="AD90" i="1"/>
  <c r="AE90" i="1"/>
  <c r="Y23" i="1"/>
  <c r="Z23" i="1"/>
  <c r="AA23" i="1"/>
  <c r="AB23" i="1"/>
  <c r="AC23" i="1"/>
  <c r="AD23" i="1"/>
  <c r="AE23" i="1"/>
  <c r="Y22" i="1"/>
  <c r="Z22" i="1"/>
  <c r="AA22" i="1"/>
  <c r="AB22" i="1"/>
  <c r="AC22" i="1"/>
  <c r="AD22" i="1"/>
  <c r="AE22" i="1"/>
  <c r="Y33" i="1"/>
  <c r="Y127" i="1"/>
  <c r="Y36" i="1"/>
  <c r="Y35" i="1"/>
  <c r="Z33" i="1"/>
  <c r="Z127" i="1"/>
  <c r="Z36" i="1"/>
  <c r="Z35" i="1"/>
  <c r="AA33" i="1"/>
  <c r="AA127" i="1"/>
  <c r="AA36" i="1"/>
  <c r="AA35" i="1"/>
  <c r="AB33" i="1"/>
  <c r="AB127" i="1"/>
  <c r="AB36" i="1"/>
  <c r="AB35" i="1"/>
  <c r="AC33" i="1"/>
  <c r="AC127" i="1"/>
  <c r="AC36" i="1"/>
  <c r="AC35" i="1"/>
  <c r="AD33" i="1"/>
  <c r="AD127" i="1"/>
  <c r="AD36" i="1"/>
  <c r="AD35" i="1"/>
  <c r="AE33" i="1"/>
  <c r="AE127" i="1"/>
  <c r="AE36" i="1"/>
  <c r="AE35" i="1"/>
  <c r="Y34" i="1"/>
  <c r="Z34" i="1"/>
  <c r="AA34" i="1"/>
  <c r="AB34" i="1"/>
  <c r="AC34" i="1"/>
  <c r="AD34" i="1"/>
  <c r="AE34" i="1"/>
  <c r="Y48" i="1"/>
  <c r="Z48" i="1"/>
  <c r="AA48" i="1"/>
  <c r="AB48" i="1"/>
  <c r="AC48" i="1"/>
  <c r="AD48" i="1"/>
  <c r="AE48" i="1"/>
  <c r="Y128" i="1"/>
  <c r="Z128" i="1"/>
  <c r="AA128" i="1"/>
  <c r="AB128" i="1"/>
  <c r="AC128" i="1"/>
  <c r="AD128" i="1"/>
  <c r="AE128" i="1"/>
  <c r="Y91" i="1"/>
  <c r="Y93" i="1"/>
  <c r="Z91" i="1"/>
  <c r="Z93" i="1"/>
  <c r="AA91" i="1"/>
  <c r="AA93" i="1"/>
  <c r="AB91" i="1"/>
  <c r="AB93" i="1"/>
  <c r="AC91" i="1"/>
  <c r="AC93" i="1"/>
  <c r="AD91" i="1"/>
  <c r="AD93" i="1"/>
  <c r="AE91" i="1"/>
  <c r="AE93" i="1"/>
  <c r="Y92" i="1"/>
  <c r="Z92" i="1"/>
  <c r="AA92" i="1"/>
  <c r="AB92" i="1"/>
  <c r="AC92" i="1"/>
  <c r="AD92" i="1"/>
  <c r="AE92" i="1"/>
  <c r="Y104" i="1"/>
  <c r="Z104" i="1"/>
  <c r="AA104" i="1"/>
  <c r="AB104" i="1"/>
  <c r="AC104" i="1"/>
  <c r="AD104" i="1"/>
  <c r="AE104" i="1"/>
  <c r="Y103" i="1"/>
  <c r="Z103" i="1"/>
  <c r="AA103" i="1"/>
  <c r="AB103" i="1"/>
  <c r="AC103" i="1"/>
  <c r="AD103" i="1"/>
  <c r="AE103" i="1"/>
  <c r="Y102" i="1"/>
  <c r="Z102" i="1"/>
  <c r="AA102" i="1"/>
  <c r="AB102" i="1"/>
  <c r="AC102" i="1"/>
  <c r="AD102" i="1"/>
  <c r="AE102" i="1"/>
  <c r="E7" i="1"/>
  <c r="E4" i="1"/>
  <c r="E5" i="1"/>
  <c r="Y157" i="1"/>
  <c r="Z157" i="1"/>
  <c r="AA157" i="1"/>
  <c r="AB157" i="1"/>
  <c r="AC157" i="1"/>
  <c r="AD157" i="1"/>
  <c r="AE157" i="1"/>
  <c r="Y156" i="1"/>
  <c r="Z156" i="1"/>
  <c r="AA156" i="1"/>
  <c r="AB156" i="1"/>
  <c r="AC156" i="1"/>
  <c r="AD156" i="1"/>
  <c r="AE156" i="1"/>
  <c r="Y147" i="1"/>
  <c r="Z147" i="1"/>
  <c r="AA147" i="1"/>
  <c r="AB147" i="1"/>
  <c r="AC147" i="1"/>
  <c r="AD147" i="1"/>
  <c r="AE147" i="1"/>
  <c r="Y146" i="1"/>
  <c r="Z146" i="1"/>
  <c r="AA146" i="1"/>
  <c r="AB146" i="1"/>
  <c r="AC146" i="1"/>
  <c r="AD146" i="1"/>
  <c r="AE146" i="1"/>
  <c r="Y137" i="1"/>
  <c r="Z137" i="1"/>
  <c r="AA137" i="1"/>
  <c r="AB137" i="1"/>
  <c r="AC137" i="1"/>
  <c r="AD137" i="1"/>
  <c r="AE137" i="1"/>
  <c r="Y131" i="1"/>
  <c r="Z131" i="1"/>
  <c r="AA131" i="1"/>
  <c r="AB131" i="1"/>
  <c r="AC131" i="1"/>
  <c r="AD131" i="1"/>
  <c r="AE131" i="1"/>
  <c r="Y130" i="1"/>
  <c r="Z130" i="1"/>
  <c r="AA130" i="1"/>
  <c r="AB130" i="1"/>
  <c r="AC130" i="1"/>
  <c r="AD130" i="1"/>
  <c r="AE130" i="1"/>
  <c r="Y129" i="1"/>
  <c r="Z129" i="1"/>
  <c r="AA129" i="1"/>
  <c r="AB129" i="1"/>
  <c r="AC129" i="1"/>
  <c r="AD129" i="1"/>
  <c r="AE129" i="1"/>
  <c r="Y124" i="1"/>
  <c r="Z124" i="1"/>
  <c r="AA124" i="1"/>
  <c r="AB124" i="1"/>
  <c r="AC124" i="1"/>
  <c r="AD124" i="1"/>
  <c r="AE124" i="1"/>
  <c r="Y120" i="1"/>
  <c r="Z120" i="1"/>
  <c r="AA120" i="1"/>
  <c r="AB120" i="1"/>
  <c r="AC120" i="1"/>
  <c r="AD120" i="1"/>
  <c r="AE120" i="1"/>
  <c r="Y119" i="1"/>
  <c r="Z119" i="1"/>
  <c r="AA119" i="1"/>
  <c r="AB119" i="1"/>
  <c r="AC119" i="1"/>
  <c r="AD119" i="1"/>
  <c r="AE119" i="1"/>
  <c r="Y125" i="1"/>
  <c r="Z125" i="1"/>
  <c r="AA125" i="1"/>
  <c r="AB125" i="1"/>
  <c r="AC125" i="1"/>
  <c r="AD125" i="1"/>
  <c r="AE125" i="1"/>
  <c r="Y32" i="1"/>
  <c r="Z32" i="1"/>
  <c r="AA32" i="1"/>
  <c r="AB32" i="1"/>
  <c r="AC32" i="1"/>
  <c r="AD32" i="1"/>
  <c r="AE32" i="1"/>
  <c r="Y31" i="1"/>
  <c r="Z31" i="1"/>
  <c r="AA31" i="1"/>
  <c r="AB31" i="1"/>
  <c r="AC31" i="1"/>
  <c r="AD31" i="1"/>
  <c r="AE31" i="1"/>
  <c r="Y94" i="1"/>
  <c r="Z94" i="1"/>
  <c r="AA94" i="1"/>
  <c r="AB94" i="1"/>
  <c r="AC94" i="1"/>
  <c r="AD94" i="1"/>
  <c r="AE94" i="1"/>
  <c r="Y145" i="1"/>
  <c r="Z145" i="1"/>
  <c r="AA145" i="1"/>
  <c r="AB145" i="1"/>
  <c r="AC145" i="1"/>
  <c r="AD145" i="1"/>
  <c r="AE145" i="1"/>
  <c r="Y148" i="1"/>
  <c r="Z148" i="1"/>
  <c r="AA148" i="1"/>
  <c r="AB148" i="1"/>
  <c r="AC148" i="1"/>
  <c r="AD148" i="1"/>
  <c r="AE148" i="1"/>
  <c r="Y19" i="1"/>
  <c r="Z19" i="1"/>
  <c r="AA19" i="1"/>
  <c r="AB19" i="1"/>
  <c r="AC19" i="1"/>
  <c r="AD19" i="1"/>
  <c r="AE19" i="1"/>
  <c r="Y106" i="1"/>
  <c r="Z106" i="1"/>
  <c r="AA106" i="1"/>
  <c r="AB106" i="1"/>
  <c r="AC106" i="1"/>
  <c r="AD106" i="1"/>
  <c r="AE106" i="1"/>
  <c r="Y105" i="1"/>
  <c r="Z105" i="1"/>
  <c r="AA105" i="1"/>
  <c r="AB105" i="1"/>
  <c r="AC105" i="1"/>
  <c r="AD105" i="1"/>
  <c r="AE105" i="1"/>
  <c r="Y109" i="1"/>
  <c r="Z109" i="1"/>
  <c r="AA109" i="1"/>
  <c r="AB109" i="1"/>
  <c r="AC109" i="1"/>
  <c r="AD109" i="1"/>
  <c r="AE109" i="1"/>
  <c r="Y95" i="1"/>
  <c r="Z95" i="1"/>
  <c r="AA95" i="1"/>
  <c r="AB95" i="1"/>
  <c r="AC95" i="1"/>
  <c r="AD95" i="1"/>
  <c r="AE95" i="1"/>
  <c r="Y18" i="1"/>
  <c r="Z18" i="1"/>
  <c r="AA18" i="1"/>
  <c r="AB18" i="1"/>
  <c r="AC18" i="1"/>
  <c r="AD18" i="1"/>
  <c r="AE18" i="1"/>
  <c r="Y97" i="1"/>
  <c r="Z97" i="1"/>
  <c r="AA97" i="1"/>
  <c r="AB97" i="1"/>
  <c r="AC97" i="1"/>
  <c r="AD97" i="1"/>
  <c r="AE97" i="1"/>
  <c r="Y98" i="1"/>
  <c r="Z98" i="1"/>
  <c r="AA98" i="1"/>
  <c r="AB98" i="1"/>
  <c r="AC98" i="1"/>
  <c r="AD98" i="1"/>
  <c r="AE98" i="1"/>
  <c r="Y99" i="1"/>
  <c r="Z99" i="1"/>
  <c r="AA99" i="1"/>
  <c r="AB99" i="1"/>
  <c r="AC99" i="1"/>
  <c r="AD99" i="1"/>
  <c r="AE99" i="1"/>
  <c r="Y100" i="1"/>
  <c r="Z100" i="1"/>
  <c r="AA100" i="1"/>
  <c r="AB100" i="1"/>
  <c r="AC100" i="1"/>
  <c r="AD100" i="1"/>
  <c r="AE100" i="1"/>
  <c r="Y101" i="1"/>
  <c r="Z101" i="1"/>
  <c r="AA101" i="1"/>
  <c r="AB101" i="1"/>
  <c r="AC101" i="1"/>
  <c r="AD101" i="1"/>
  <c r="AE101" i="1"/>
  <c r="AE117" i="1"/>
  <c r="Z117" i="1"/>
  <c r="AA117" i="1"/>
  <c r="AB117" i="1"/>
  <c r="AC117" i="1"/>
  <c r="AD117" i="1"/>
  <c r="Y117" i="1"/>
  <c r="E16" i="1" l="1" a="1"/>
  <c r="E16" i="1" s="1"/>
  <c r="E17" i="1" a="1"/>
  <c r="E17" i="1" s="1"/>
  <c r="H95" i="1"/>
  <c r="H120" i="1"/>
  <c r="H54" i="1"/>
  <c r="H91" i="1"/>
  <c r="H18" i="1"/>
  <c r="H145" i="1"/>
  <c r="H146" i="1"/>
  <c r="H47" i="1"/>
  <c r="H76" i="1"/>
  <c r="H42" i="1"/>
  <c r="H131" i="1"/>
  <c r="H87" i="1"/>
  <c r="H109" i="1"/>
  <c r="H124" i="1"/>
  <c r="H128" i="1"/>
  <c r="H86" i="1"/>
  <c r="H15" i="1"/>
  <c r="H84" i="1"/>
  <c r="H78" i="1"/>
  <c r="H149" i="1"/>
  <c r="H22" i="1"/>
  <c r="H139" i="1"/>
  <c r="H83" i="1"/>
  <c r="H41" i="1"/>
  <c r="H156" i="1"/>
  <c r="H130" i="1"/>
  <c r="H34" i="1"/>
  <c r="H85" i="1"/>
  <c r="H51" i="1"/>
  <c r="H81" i="1"/>
  <c r="H113" i="1"/>
  <c r="H101" i="1"/>
  <c r="H99" i="1"/>
  <c r="H31" i="1"/>
  <c r="H103" i="1"/>
  <c r="H106" i="1"/>
  <c r="H35" i="1"/>
  <c r="H90" i="1"/>
  <c r="H138" i="1"/>
  <c r="H82" i="1"/>
  <c r="H58" i="1"/>
  <c r="H154" i="1"/>
  <c r="H39" i="1"/>
  <c r="H97" i="1"/>
  <c r="H125" i="1"/>
  <c r="H92" i="1"/>
  <c r="H148" i="1"/>
  <c r="H137" i="1"/>
  <c r="H93" i="1"/>
  <c r="H36" i="1"/>
  <c r="H46" i="1"/>
  <c r="H55" i="1"/>
  <c r="H141" i="1"/>
  <c r="H116" i="1"/>
  <c r="H150" i="1"/>
  <c r="H111" i="1"/>
  <c r="H100" i="1"/>
  <c r="H94" i="1"/>
  <c r="H147" i="1"/>
  <c r="H102" i="1"/>
  <c r="H33" i="1"/>
  <c r="H53" i="1"/>
  <c r="H110" i="1"/>
  <c r="H105" i="1"/>
  <c r="H129" i="1"/>
  <c r="H48" i="1"/>
  <c r="H88" i="1"/>
  <c r="H155" i="1"/>
  <c r="H112" i="1"/>
  <c r="H43" i="1"/>
  <c r="H98" i="1"/>
  <c r="H32" i="1"/>
  <c r="H157" i="1"/>
  <c r="H104" i="1"/>
  <c r="H23" i="1"/>
  <c r="H115" i="1"/>
  <c r="H135" i="1"/>
  <c r="H117" i="1"/>
  <c r="H119" i="1"/>
  <c r="H74" i="1"/>
  <c r="H40" i="1"/>
  <c r="H132" i="1"/>
  <c r="H143" i="1"/>
  <c r="H127" i="1"/>
  <c r="H144" i="1"/>
  <c r="H142" i="1"/>
  <c r="H57" i="1"/>
  <c r="H16" i="1"/>
  <c r="H38" i="1"/>
  <c r="E6" i="1"/>
  <c r="H19" i="1"/>
  <c r="E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<sst xmlns="http://schemas.openxmlformats.org/spreadsheetml/2006/main" count="487" uniqueCount="224">
  <si>
    <t>Table Name</t>
  </si>
  <si>
    <t>Part 1</t>
  </si>
  <si>
    <t>Part 2</t>
  </si>
  <si>
    <t>Part 3</t>
  </si>
  <si>
    <t>Part 4</t>
  </si>
  <si>
    <t>Part 5</t>
  </si>
  <si>
    <t>Part 6</t>
  </si>
  <si>
    <t>Part 7</t>
  </si>
  <si>
    <t>Name Parts</t>
  </si>
  <si>
    <t>Spreadsheet</t>
  </si>
  <si>
    <t>Modifications complete?</t>
  </si>
  <si>
    <t>.kicad_dbl</t>
  </si>
  <si>
    <t>SQL Database</t>
  </si>
  <si>
    <t>Created?</t>
  </si>
  <si>
    <t>Symbol Library</t>
  </si>
  <si>
    <t>Footprint Library</t>
  </si>
  <si>
    <t>Priority</t>
  </si>
  <si>
    <t>0 = lowest</t>
  </si>
  <si>
    <t>Functionality Verified?</t>
  </si>
  <si>
    <t>Eff pt 2</t>
  </si>
  <si>
    <t>Eff pt 3</t>
  </si>
  <si>
    <t>Eff pt 1</t>
  </si>
  <si>
    <t>Eff pt 4</t>
  </si>
  <si>
    <t>Eff pt 5</t>
  </si>
  <si>
    <t>Eff pt 6</t>
  </si>
  <si>
    <t>Eff pt 7</t>
  </si>
  <si>
    <t>Name Synth (Ignore)</t>
  </si>
  <si>
    <t>Capacitors</t>
  </si>
  <si>
    <t>Polarized</t>
  </si>
  <si>
    <t>Completion (%)</t>
  </si>
  <si>
    <t>Cables</t>
  </si>
  <si>
    <t>Premade</t>
  </si>
  <si>
    <t>-1 = complete</t>
  </si>
  <si>
    <t>Unpolarized</t>
  </si>
  <si>
    <t>Connectors</t>
  </si>
  <si>
    <t>Rectangular</t>
  </si>
  <si>
    <t>RJ</t>
  </si>
  <si>
    <t>Inductors</t>
  </si>
  <si>
    <t>Protection</t>
  </si>
  <si>
    <t>Fuses</t>
  </si>
  <si>
    <t>GDT</t>
  </si>
  <si>
    <t>MOVs</t>
  </si>
  <si>
    <t>Resistors</t>
  </si>
  <si>
    <t>Single</t>
  </si>
  <si>
    <t>SMD</t>
  </si>
  <si>
    <t>Thermal</t>
  </si>
  <si>
    <t>Heat Sinks</t>
  </si>
  <si>
    <t>Pads</t>
  </si>
  <si>
    <t>Stats</t>
  </si>
  <si>
    <t>This document is for TABLES to be IMPLEMENTED, not updated</t>
  </si>
  <si>
    <t>Isolated Array</t>
  </si>
  <si>
    <t>Network</t>
  </si>
  <si>
    <t>Through Hole</t>
  </si>
  <si>
    <t>Screw Connectors</t>
  </si>
  <si>
    <t>USB</t>
  </si>
  <si>
    <t>Programming</t>
  </si>
  <si>
    <t>SD Card Socket</t>
  </si>
  <si>
    <t>Card Edge</t>
  </si>
  <si>
    <t>Coaxial</t>
  </si>
  <si>
    <t>Banana Jacks</t>
  </si>
  <si>
    <t>Power Entry Modules</t>
  </si>
  <si>
    <t>Terminal Blocks</t>
  </si>
  <si>
    <t>Flat Flex</t>
  </si>
  <si>
    <t>Standard</t>
  </si>
  <si>
    <t>Hybrid</t>
  </si>
  <si>
    <t>Backshells</t>
  </si>
  <si>
    <t>D-Sub</t>
  </si>
  <si>
    <t>Male</t>
  </si>
  <si>
    <t>Female</t>
  </si>
  <si>
    <t>PCB Mount</t>
  </si>
  <si>
    <t>Inline</t>
  </si>
  <si>
    <t>Partially Completed</t>
  </si>
  <si>
    <t>Incomplete</t>
  </si>
  <si>
    <t>Completed</t>
  </si>
  <si>
    <t>Planned</t>
  </si>
  <si>
    <t>Contacts</t>
  </si>
  <si>
    <t>Ferrules</t>
  </si>
  <si>
    <t>Ring Terminals</t>
  </si>
  <si>
    <t>Banana Plugs</t>
  </si>
  <si>
    <t>TVS Diode</t>
  </si>
  <si>
    <t>Common Mode Choke</t>
  </si>
  <si>
    <t>PSUs</t>
  </si>
  <si>
    <t>AC-DC</t>
  </si>
  <si>
    <t>DC-DC</t>
  </si>
  <si>
    <t>Isolated</t>
  </si>
  <si>
    <t>Non-Isolated</t>
  </si>
  <si>
    <t>Chasis Mount</t>
  </si>
  <si>
    <t>Transformer</t>
  </si>
  <si>
    <t>Power</t>
  </si>
  <si>
    <t>Discreet</t>
  </si>
  <si>
    <t>Diodes</t>
  </si>
  <si>
    <t>Schottky</t>
  </si>
  <si>
    <t>BJT</t>
  </si>
  <si>
    <t>MOSFET</t>
  </si>
  <si>
    <t>GaNFET</t>
  </si>
  <si>
    <t>SiCFET</t>
  </si>
  <si>
    <t>JFET</t>
  </si>
  <si>
    <t>Isolators</t>
  </si>
  <si>
    <t>Digital</t>
  </si>
  <si>
    <t>Analog</t>
  </si>
  <si>
    <t>ICs</t>
  </si>
  <si>
    <t>Gate Driver</t>
  </si>
  <si>
    <t>Non Isolated</t>
  </si>
  <si>
    <t>Linear Regulation</t>
  </si>
  <si>
    <t>Switching Controler</t>
  </si>
  <si>
    <t>Ideal Diodes</t>
  </si>
  <si>
    <t>Embedded</t>
  </si>
  <si>
    <t>MCU</t>
  </si>
  <si>
    <t>FPGA</t>
  </si>
  <si>
    <t>PolarFire</t>
  </si>
  <si>
    <t>Memory</t>
  </si>
  <si>
    <t>EEPROM</t>
  </si>
  <si>
    <t>SD Card</t>
  </si>
  <si>
    <t>DRAM</t>
  </si>
  <si>
    <t>ADC</t>
  </si>
  <si>
    <t>DAC</t>
  </si>
  <si>
    <t>Comparator</t>
  </si>
  <si>
    <t>OP Amp</t>
  </si>
  <si>
    <t>Logic</t>
  </si>
  <si>
    <t xml:space="preserve">Interface </t>
  </si>
  <si>
    <t>Drivers</t>
  </si>
  <si>
    <t>Recievers</t>
  </si>
  <si>
    <t>Trancievers</t>
  </si>
  <si>
    <t>DDS</t>
  </si>
  <si>
    <t xml:space="preserve">Oscillators </t>
  </si>
  <si>
    <t>Fixed</t>
  </si>
  <si>
    <t>XO</t>
  </si>
  <si>
    <t>TCXO</t>
  </si>
  <si>
    <t>Ceramic Resonator</t>
  </si>
  <si>
    <t>VCOs</t>
  </si>
  <si>
    <t>VCO</t>
  </si>
  <si>
    <t>VCXO</t>
  </si>
  <si>
    <t>VCTCXO</t>
  </si>
  <si>
    <t xml:space="preserve">Mechanical </t>
  </si>
  <si>
    <t xml:space="preserve">Standoffs </t>
  </si>
  <si>
    <t>Spacers</t>
  </si>
  <si>
    <t>Screws</t>
  </si>
  <si>
    <t>Nuts</t>
  </si>
  <si>
    <t>Overall Completion (%)</t>
  </si>
  <si>
    <t>Half&amp;H Bridge</t>
  </si>
  <si>
    <t>Generators &amp; Synthisizers</t>
  </si>
  <si>
    <t>M_F</t>
  </si>
  <si>
    <t>F_F</t>
  </si>
  <si>
    <t>Tables</t>
  </si>
  <si>
    <t>Modifications Complete?</t>
  </si>
  <si>
    <t>High Priority (&gt;0)</t>
  </si>
  <si>
    <t>Low Priority (=0)</t>
  </si>
  <si>
    <t>Heat Shrink</t>
  </si>
  <si>
    <t>% of high priority complete</t>
  </si>
  <si>
    <t>Spreadsheet </t>
  </si>
  <si>
    <t>% of highest priority complete</t>
  </si>
  <si>
    <t>Indicator</t>
  </si>
  <si>
    <t>LEDs</t>
  </si>
  <si>
    <t>Clock&amp;Timing</t>
  </si>
  <si>
    <t>RGB</t>
  </si>
  <si>
    <t>IO Expander</t>
  </si>
  <si>
    <t>Analog Switch</t>
  </si>
  <si>
    <t>Touch Sensor</t>
  </si>
  <si>
    <t>Capacitive</t>
  </si>
  <si>
    <t>Serializer</t>
  </si>
  <si>
    <t>Deserializer</t>
  </si>
  <si>
    <t>Controller</t>
  </si>
  <si>
    <t>UART</t>
  </si>
  <si>
    <t>Counter</t>
  </si>
  <si>
    <t>Up</t>
  </si>
  <si>
    <t>Up&amp;Down</t>
  </si>
  <si>
    <t>Flip Flops</t>
  </si>
  <si>
    <t>Gates</t>
  </si>
  <si>
    <t>Latches</t>
  </si>
  <si>
    <t>Multivibrators</t>
  </si>
  <si>
    <t>Shift Registers</t>
  </si>
  <si>
    <t>SIPO</t>
  </si>
  <si>
    <t>PISO</t>
  </si>
  <si>
    <t>Switch</t>
  </si>
  <si>
    <t>Multiplexer</t>
  </si>
  <si>
    <t>Demultiplexer</t>
  </si>
  <si>
    <t>Translators</t>
  </si>
  <si>
    <t>Level Shifters</t>
  </si>
  <si>
    <t>Highest Priority</t>
  </si>
  <si>
    <t>Mezzanine</t>
  </si>
  <si>
    <t>PolyFuses</t>
  </si>
  <si>
    <t>Switches</t>
  </si>
  <si>
    <t>Tactile</t>
  </si>
  <si>
    <t>SOC</t>
  </si>
  <si>
    <t>TRALSE</t>
  </si>
  <si>
    <t>Voltage References</t>
  </si>
  <si>
    <t>Burried Zener</t>
  </si>
  <si>
    <t>Jumpers</t>
  </si>
  <si>
    <t>Module</t>
  </si>
  <si>
    <t>Test Points</t>
  </si>
  <si>
    <t>Slide</t>
  </si>
  <si>
    <t>Spreadsheet(%)</t>
  </si>
  <si>
    <t>Symbol Library(%)</t>
  </si>
  <si>
    <t>Footprint Library(%)</t>
  </si>
  <si>
    <t>Transistors</t>
  </si>
  <si>
    <t>Barrel Jack</t>
  </si>
  <si>
    <t>Wall Wart</t>
  </si>
  <si>
    <t>Feet</t>
  </si>
  <si>
    <t>IC socket</t>
  </si>
  <si>
    <t>Supply Sequencing</t>
  </si>
  <si>
    <t>NPN</t>
  </si>
  <si>
    <t>PNP</t>
  </si>
  <si>
    <t>Ferrite Bead</t>
  </si>
  <si>
    <t>Push</t>
  </si>
  <si>
    <t>FLASH</t>
  </si>
  <si>
    <t>Logic_Out</t>
  </si>
  <si>
    <t>Battery Holders</t>
  </si>
  <si>
    <t>Coin Cell</t>
  </si>
  <si>
    <t>Cylindrical</t>
  </si>
  <si>
    <t>RTCs</t>
  </si>
  <si>
    <t>Sensors</t>
  </si>
  <si>
    <t>Capacitance To Digital</t>
  </si>
  <si>
    <t>Temperature</t>
  </si>
  <si>
    <t>RTDs</t>
  </si>
  <si>
    <t>Humidity</t>
  </si>
  <si>
    <t>Wire to Board</t>
  </si>
  <si>
    <t>Switching Regulator</t>
  </si>
  <si>
    <t>Optoisolator</t>
  </si>
  <si>
    <t>Paste</t>
  </si>
  <si>
    <t>Glue</t>
  </si>
  <si>
    <t>Tape</t>
  </si>
  <si>
    <t>Zener</t>
  </si>
  <si>
    <t>General Purpose</t>
  </si>
  <si>
    <t>Shunts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</si>
</sst>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5" xfId="0" quotePrefix="1" applyBorder="1" applyAlignment="1">
      <alignment horizontal="right" vertical="center"/>
    </xf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0" xfId="0" quotePrefix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10">
    <dxf>
      <fill>
        <patternFill patternType="solid">
          <fgColor auto="1"/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thick">
          <color auto="1"/>
        </left>
        <top/>
        <bottom/>
        <vertical/>
        <horizontal/>
      </border>
    </dxf>
    <dxf>
      <border diagonalUp="0" diagonalDown="0">
        <left style="medium">
          <color auto="1"/>
        </left>
        <right/>
        <top/>
        <bottom/>
        <vertical/>
        <horizontal/>
      </border>
    </dxf>
    <dxf>
      <border diagonalUp="0" diagonalDown="0">
        <left style="medium">
          <color auto="1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E292C-4D1E-49EA-9A61-3C83B907CF9E}" name="Table1" displayName="Table1" ref="H11:AE157" totalsRowShown="0">
  <autoFilter ref="H11:AE157" xr:uid="{DD6E292C-4D1E-49EA-9A61-3C83B907CF9E}"/>
  <sortState xmlns:xlrd2="http://schemas.microsoft.com/office/spreadsheetml/2017/richdata2" ref="H12:AE157">
    <sortCondition descending="1" ref="W11:W157"/>
  </sortState>
  <tableColumns count="24">
    <tableColumn id="1" xr3:uid="{24CA07BC-B564-425C-A1C9-824F8759E630}" name="Table Name"/>
    <tableColumn id="2" xr3:uid="{9F4A02A6-F5DB-4F3A-A421-70A80F651F79}" name="Part 1" dataDxfId="9"/>
    <tableColumn id="3" xr3:uid="{00BD6BA4-1F12-4724-AE31-3694BB4C53B5}" name="Part 2"/>
    <tableColumn id="4" xr3:uid="{1CAAE1E4-7D4D-47D1-8B9A-27C7679E6199}" name="Part 3"/>
    <tableColumn id="5" xr3:uid="{037D0EDD-3927-40D7-AFD5-1044A7CAD438}" name="Part 4"/>
    <tableColumn id="6" xr3:uid="{48D64EC1-0CF4-4E4E-A6D0-E999EC133A13}" name="Part 5"/>
    <tableColumn id="7" xr3:uid="{DD2BE2A2-2EB3-44FA-8623-456D01EA63F6}" name="Part 6"/>
    <tableColumn id="8" xr3:uid="{40DC5E7D-06D0-4B47-8AE6-2C5D8310EC72}" name="Part 7"/>
    <tableColumn id="9" xr3:uid="{FC0664F5-2F12-48A0-AAC9-0BCA6842B8AC}" name="Spreadsheet" dataDxfId="8"/>
    <tableColumn id="10" xr3:uid="{0317F941-13E4-4D2B-BEEE-7C26C454AD40}" name="SQL Database"/>
    <tableColumn id="11" xr3:uid="{8162CF8B-28D2-4781-897D-4EAD7F56A2E8}" name=".kicad_dbl"/>
    <tableColumn id="28" xr3:uid="{71D029E6-3725-4F01-AFCF-D6BA4C6D42C1}" name="Spreadsheet " dataDxfId="7"/>
    <tableColumn id="12" xr3:uid="{431C6373-8E7D-4666-BDE1-467A0F9E453B}" name="Symbol Library"/>
    <tableColumn id="13" xr3:uid="{2DA1FDCD-CF72-45A1-B1B4-6EF51DFD8E52}" name="Footprint Library"/>
    <tableColumn id="17" xr3:uid="{78B76DFF-BD9A-4D3C-AABA-D1B79F14BCCA}" name="Functionality Verified?"/>
    <tableColumn id="15" xr3:uid="{D1E24C39-AA98-4732-9662-847B76D8D595}" name="Priority"/>
    <tableColumn id="16" xr3:uid="{FF2332B8-8FC6-47C4-8923-30A2E08CE14A}" name="Completion (%)" dataDxfId="6">
      <calculatedColumnFormula>(COUNTIF(Table1[[#This Row],[Spreadsheet]:[Functionality Verified?]],"=TRUE")/7) * 100</calculatedColumnFormula>
    </tableColumn>
    <tableColumn id="18" xr3:uid="{58412161-1BDA-44F7-B739-C52F8C666368}" name="Eff pt 1">
      <calculatedColumnFormula>IF(COUNTBLANK(Table1[[#This Row],[Part 2]])=0,_xlfn.CONCAT(Table1[[#This Row],[Part 1]]," - "),IF(COUNTBLANK(Table1[[#This Row],[Part 1]])=0,Table1[[#This Row],[Part 1]],""))</calculatedColumnFormula>
    </tableColumn>
    <tableColumn id="20" xr3:uid="{C4213B0B-3FC2-4C47-8C6A-8B286C4BA4D1}" name="Eff pt 2">
      <calculatedColumnFormula>IF(COUNTBLANK(Table1[[#This Row],[Part 3]])=0,_xlfn.CONCAT(Table1[[#This Row],[Part 2]]," - "),IF(COUNTBLANK(Table1[[#This Row],[Part 2]])=0,Table1[[#This Row],[Part 2]],""))</calculatedColumnFormula>
    </tableColumn>
    <tableColumn id="21" xr3:uid="{72818215-B9AC-43B8-9C88-C0300DAF6706}" name="Eff pt 3">
      <calculatedColumnFormula>IF(COUNTBLANK(Table1[[#This Row],[Part 4]])=0,_xlfn.CONCAT(Table1[[#This Row],[Part 3]]," - "),IF(COUNTBLANK(Table1[[#This Row],[Part 3]])=0,Table1[[#This Row],[Part 3]],""))</calculatedColumnFormula>
    </tableColumn>
    <tableColumn id="23" xr3:uid="{D81426ED-8277-4691-AC01-7EA38B811369}" name="Eff pt 4">
      <calculatedColumnFormula>IF(COUNTBLANK(Table1[[#This Row],[Part 5]])=0,_xlfn.CONCAT(Table1[[#This Row],[Part 4]]," - "),IF(COUNTBLANK(Table1[[#This Row],[Part 4]])=0,Table1[[#This Row],[Part 4]],""))</calculatedColumnFormula>
    </tableColumn>
    <tableColumn id="24" xr3:uid="{BD214435-5886-4969-9E95-B7E8630B9C7C}" name="Eff pt 5">
      <calculatedColumnFormula>IF(COUNTBLANK(Table1[[#This Row],[Part 6]])=0,_xlfn.CONCAT(Table1[[#This Row],[Part 5]]," - "),IF(COUNTBLANK(Table1[[#This Row],[Part 5]])=0,Table1[[#This Row],[Part 5]],""))</calculatedColumnFormula>
    </tableColumn>
    <tableColumn id="25" xr3:uid="{91DCD785-851B-49AB-8770-2BD9F0619C1F}" name="Eff pt 6">
      <calculatedColumnFormula>IF(COUNTBLANK(Table1[[#This Row],[Part 7]])=0,_xlfn.CONCAT(Table1[[#This Row],[Part 6]]," - "),IF(COUNTBLANK(Table1[[#This Row],[Part 6]])=0,Table1[[#This Row],[Part 6]],""))</calculatedColumnFormula>
    </tableColumn>
    <tableColumn id="27" xr3:uid="{C3ABB5DC-01EA-4831-A16F-95001CE94C0E}" name="Eff pt 7">
      <calculatedColumnFormula>IF(COUNTBLANK(Table1[[#This Row],[Part 7]])=0,Table1[[#This Row],[Part 7]],"")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157"/>
  <sheetViews>
    <sheetView tabSelected="1" topLeftCell="G1" zoomScale="70" zoomScaleNormal="70" workbookViewId="0">
      <selection activeCell="J62" sqref="J62"/>
    </sheetView>
  </sheetViews>
  <sheetFormatPr defaultRowHeight="14.5" x14ac:dyDescent="0.35"/>
  <cols>
    <col min="3" max="3" width="14.08984375" customWidth="1"/>
    <col min="4" max="4" width="27.54296875" style="9" bestFit="1" customWidth="1"/>
    <col min="8" max="8" width="54" bestFit="1" customWidth="1"/>
    <col min="9" max="9" width="20.08984375" style="6" bestFit="1" customWidth="1"/>
    <col min="10" max="10" width="21.08984375" bestFit="1" customWidth="1"/>
    <col min="11" max="11" width="38.6328125" bestFit="1" customWidth="1"/>
    <col min="12" max="12" width="17.08984375" bestFit="1" customWidth="1"/>
    <col min="13" max="13" width="10.36328125" bestFit="1" customWidth="1"/>
    <col min="16" max="16" width="14.6328125" style="6" bestFit="1" customWidth="1"/>
    <col min="17" max="17" width="15.6328125" bestFit="1" customWidth="1"/>
    <col min="18" max="18" width="14.54296875" bestFit="1" customWidth="1"/>
    <col min="19" max="19" width="15.6328125" style="5" bestFit="1" customWidth="1"/>
    <col min="20" max="20" width="17.08984375" bestFit="1" customWidth="1"/>
    <col min="21" max="21" width="18.90625" bestFit="1" customWidth="1"/>
    <col min="22" max="22" width="23.90625" bestFit="1" customWidth="1"/>
    <col min="23" max="23" width="12.54296875" bestFit="1" customWidth="1"/>
    <col min="24" max="24" width="17.36328125" style="6" bestFit="1" customWidth="1"/>
    <col min="25" max="25" width="13" customWidth="1"/>
    <col min="26" max="26" width="13.453125" customWidth="1"/>
    <col min="27" max="31" width="9.90625" bestFit="1" customWidth="1"/>
    <col min="32" max="32" width="12.36328125" customWidth="1"/>
  </cols>
  <sheetData>
    <row r="1" spans="2:31" x14ac:dyDescent="0.35">
      <c r="I1"/>
      <c r="P1"/>
      <c r="S1"/>
    </row>
    <row r="2" spans="2:31" x14ac:dyDescent="0.35">
      <c r="I2"/>
      <c r="P2"/>
      <c r="S2"/>
    </row>
    <row r="3" spans="2:31" x14ac:dyDescent="0.35">
      <c r="B3" s="17" t="s">
        <v>48</v>
      </c>
      <c r="C3" s="24" t="s">
        <v>143</v>
      </c>
      <c r="D3" s="10" t="s">
        <v>74</v>
      </c>
      <c r="E3" s="13">
        <f>COUNTA(H12:H10039)</f>
        <v>146</v>
      </c>
      <c r="I3"/>
      <c r="P3"/>
      <c r="S3"/>
    </row>
    <row r="4" spans="2:31" x14ac:dyDescent="0.35">
      <c r="B4" s="18"/>
      <c r="C4" s="25"/>
      <c r="D4" s="9" t="s">
        <v>73</v>
      </c>
      <c r="E4" s="14">
        <f>COUNTIF(W12:W10039,"=-1")</f>
        <v>40</v>
      </c>
      <c r="I4"/>
      <c r="P4"/>
      <c r="S4"/>
    </row>
    <row r="5" spans="2:31" x14ac:dyDescent="0.35">
      <c r="B5" s="18"/>
      <c r="C5" s="25"/>
      <c r="D5" s="9" t="s">
        <v>72</v>
      </c>
      <c r="E5" s="14">
        <f>COUNTIF(W12:W10040,"&gt;-1")</f>
        <v>106</v>
      </c>
      <c r="G5" t="s">
        <v>49</v>
      </c>
      <c r="I5"/>
      <c r="P5" s="8">
        <f t="shared" ref="P5:V5" si="0">100*COUNTIF(P12:P9999,"=TRUE")/COUNTA(P12:P9999)</f>
        <v>40.410958904109592</v>
      </c>
      <c r="Q5" s="8">
        <f t="shared" si="0"/>
        <v>39.726027397260275</v>
      </c>
      <c r="R5" s="8">
        <f t="shared" si="0"/>
        <v>39.726027397260275</v>
      </c>
      <c r="S5" s="8">
        <f t="shared" si="0"/>
        <v>44.520547945205479</v>
      </c>
      <c r="T5" s="8">
        <f t="shared" si="0"/>
        <v>47.260273972602739</v>
      </c>
      <c r="U5" s="8">
        <f t="shared" si="0"/>
        <v>67.123287671232873</v>
      </c>
      <c r="V5" s="8">
        <f t="shared" si="0"/>
        <v>27.397260273972602</v>
      </c>
    </row>
    <row r="6" spans="2:31" x14ac:dyDescent="0.35">
      <c r="B6" s="18"/>
      <c r="C6" s="25"/>
      <c r="D6" s="9" t="s">
        <v>71</v>
      </c>
      <c r="E6" s="14">
        <f>COUNTIF(X12:X10038,"&gt;0") -E4</f>
        <v>72</v>
      </c>
      <c r="I6"/>
      <c r="P6"/>
      <c r="S6">
        <f>COUNTIF(S12:S9999,"=TRUE")</f>
        <v>65</v>
      </c>
    </row>
    <row r="7" spans="2:31" x14ac:dyDescent="0.35">
      <c r="B7" s="18"/>
      <c r="C7" s="26"/>
      <c r="D7" s="11" t="s">
        <v>138</v>
      </c>
      <c r="E7" s="15">
        <f>(COUNTIF(P12:V10039,"=TRUE")/COUNTA(P12:V10039))*100</f>
        <v>43.737769080234834</v>
      </c>
      <c r="I7"/>
      <c r="P7"/>
      <c r="S7"/>
    </row>
    <row r="8" spans="2:31" x14ac:dyDescent="0.35">
      <c r="B8" s="18"/>
      <c r="C8" s="27" t="s">
        <v>144</v>
      </c>
      <c r="D8" s="10" t="s">
        <v>9</v>
      </c>
      <c r="E8" s="13">
        <f>P5</f>
        <v>40.410958904109592</v>
      </c>
      <c r="I8"/>
      <c r="P8"/>
      <c r="S8"/>
      <c r="W8" s="4" t="s">
        <v>32</v>
      </c>
    </row>
    <row r="9" spans="2:31" x14ac:dyDescent="0.35">
      <c r="B9" s="18"/>
      <c r="C9" s="28"/>
      <c r="D9" s="9" t="s">
        <v>12</v>
      </c>
      <c r="E9" s="14">
        <f>Q5</f>
        <v>39.726027397260275</v>
      </c>
      <c r="I9"/>
      <c r="P9"/>
      <c r="S9"/>
      <c r="W9" s="1" t="s">
        <v>17</v>
      </c>
      <c r="X9" s="7"/>
      <c r="Y9" s="1"/>
      <c r="Z9" s="1"/>
      <c r="AA9" s="1"/>
      <c r="AB9" s="1"/>
      <c r="AC9" s="1"/>
      <c r="AD9" s="1"/>
      <c r="AE9" s="1"/>
    </row>
    <row r="10" spans="2:31" x14ac:dyDescent="0.35">
      <c r="B10" s="18"/>
      <c r="C10" s="29"/>
      <c r="D10" s="11" t="s">
        <v>11</v>
      </c>
      <c r="E10" s="15">
        <f>R5</f>
        <v>39.726027397260275</v>
      </c>
      <c r="I10" s="19" t="s">
        <v>8</v>
      </c>
      <c r="J10" s="20"/>
      <c r="K10" s="20"/>
      <c r="L10" s="20"/>
      <c r="M10" s="20"/>
      <c r="N10" s="20"/>
      <c r="O10" s="20"/>
      <c r="P10" s="19" t="s">
        <v>10</v>
      </c>
      <c r="Q10" s="20"/>
      <c r="R10" s="20"/>
      <c r="S10" s="22" t="s">
        <v>13</v>
      </c>
      <c r="T10" s="20"/>
      <c r="U10" s="23"/>
      <c r="V10" s="2"/>
      <c r="W10" s="3"/>
      <c r="Y10" s="21" t="s">
        <v>26</v>
      </c>
      <c r="Z10" s="21"/>
      <c r="AA10" s="21"/>
      <c r="AB10" s="21"/>
      <c r="AC10" s="21"/>
      <c r="AD10" s="21"/>
      <c r="AE10" s="21"/>
    </row>
    <row r="11" spans="2:31" x14ac:dyDescent="0.35">
      <c r="B11" s="18"/>
      <c r="C11" s="24" t="s">
        <v>13</v>
      </c>
      <c r="D11" s="10" t="s">
        <v>191</v>
      </c>
      <c r="E11" s="13">
        <f>S5</f>
        <v>44.520547945205479</v>
      </c>
      <c r="H11" t="s">
        <v>0</v>
      </c>
      <c r="I11" s="6" t="s">
        <v>1</v>
      </c>
      <c r="J11" t="s">
        <v>2</v>
      </c>
      <c r="K11" t="s">
        <v>3</v>
      </c>
      <c r="L11" t="s">
        <v>4</v>
      </c>
      <c r="M11" t="s">
        <v>5</v>
      </c>
      <c r="N11" t="s">
        <v>6</v>
      </c>
      <c r="O11" t="s">
        <v>7</v>
      </c>
      <c r="P11" s="6" t="s">
        <v>9</v>
      </c>
      <c r="Q11" t="s">
        <v>12</v>
      </c>
      <c r="R11" t="s">
        <v>11</v>
      </c>
      <c r="S11" s="5" t="s">
        <v>149</v>
      </c>
      <c r="T11" t="s">
        <v>14</v>
      </c>
      <c r="U11" t="s">
        <v>15</v>
      </c>
      <c r="V11" t="s">
        <v>18</v>
      </c>
      <c r="W11" t="s">
        <v>16</v>
      </c>
      <c r="X11" s="6" t="s">
        <v>29</v>
      </c>
      <c r="Y11" t="s">
        <v>21</v>
      </c>
      <c r="Z11" t="s">
        <v>19</v>
      </c>
      <c r="AA11" t="s">
        <v>20</v>
      </c>
      <c r="AB11" t="s">
        <v>22</v>
      </c>
      <c r="AC11" t="s">
        <v>23</v>
      </c>
      <c r="AD11" t="s">
        <v>24</v>
      </c>
      <c r="AE11" t="s">
        <v>25</v>
      </c>
    </row>
    <row r="12" spans="2:31" x14ac:dyDescent="0.35">
      <c r="B12" s="18"/>
      <c r="C12" s="25"/>
      <c r="D12" s="9" t="s">
        <v>192</v>
      </c>
      <c r="E12" s="14">
        <f>T5</f>
        <v>47.260273972602739</v>
      </c>
      <c r="H12" t="str">
        <f>_xlfn.CONCAT(Table1[[#This Row],[Eff pt 1]:[Eff pt 7]])</f>
        <v>Resistors - Single - Shunts</v>
      </c>
      <c r="I12" s="6" t="s">
        <v>42</v>
      </c>
      <c r="J12" t="s">
        <v>43</v>
      </c>
      <c r="K12" t="s">
        <v>223</v>
      </c>
      <c r="P12" s="6" t="b">
        <v>1</v>
      </c>
      <c r="Q12" t="b">
        <v>0</v>
      </c>
      <c r="R12" t="b">
        <v>0</v>
      </c>
      <c r="S12" s="5" t="b">
        <v>0</v>
      </c>
      <c r="T12" t="b">
        <v>0</v>
      </c>
      <c r="U12" t="b">
        <v>0</v>
      </c>
      <c r="V12" t="b">
        <v>0</v>
      </c>
      <c r="W12">
        <v>2</v>
      </c>
      <c r="X12" s="6">
        <f>(COUNTIF(Table1[[#This Row],[Spreadsheet]:[Functionality Verified?]],"=TRUE")/7) * 100</f>
        <v>14.285714285714285</v>
      </c>
      <c r="Y12" t="str">
        <f>IF(COUNTBLANK(Table1[[#This Row],[Part 2]])=0,_xlfn.CONCAT(Table1[[#This Row],[Part 1]]," - "),IF(COUNTBLANK(Table1[[#This Row],[Part 1]])=0,Table1[[#This Row],[Part 1]],""))</f>
        <v xml:space="preserve">Resistors - </v>
      </c>
      <c r="Z12" t="str">
        <f>IF(COUNTBLANK(Table1[[#This Row],[Part 3]])=0,_xlfn.CONCAT(Table1[[#This Row],[Part 2]]," - "),IF(COUNTBLANK(Table1[[#This Row],[Part 2]])=0,Table1[[#This Row],[Part 2]],""))</f>
        <v xml:space="preserve">Single - </v>
      </c>
      <c r="AA12" t="str">
        <f>IF(COUNTBLANK(Table1[[#This Row],[Part 4]])=0,_xlfn.CONCAT(Table1[[#This Row],[Part 3]]," - "),IF(COUNTBLANK(Table1[[#This Row],[Part 3]])=0,Table1[[#This Row],[Part 3]],""))</f>
        <v>Shunts</v>
      </c>
      <c r="AB12" t="str">
        <f>IF(COUNTBLANK(Table1[[#This Row],[Part 5]])=0,_xlfn.CONCAT(Table1[[#This Row],[Part 4]]," - "),IF(COUNTBLANK(Table1[[#This Row],[Part 4]])=0,Table1[[#This Row],[Part 4]],""))</f>
        <v/>
      </c>
      <c r="AC12" t="str">
        <f>IF(COUNTBLANK(Table1[[#This Row],[Part 6]])=0,_xlfn.CONCAT(Table1[[#This Row],[Part 5]]," - "),IF(COUNTBLANK(Table1[[#This Row],[Part 5]])=0,Table1[[#This Row],[Part 5]],""))</f>
        <v/>
      </c>
      <c r="AD12" t="str">
        <f>IF(COUNTBLANK(Table1[[#This Row],[Part 7]])=0,_xlfn.CONCAT(Table1[[#This Row],[Part 6]]," - "),IF(COUNTBLANK(Table1[[#This Row],[Part 6]])=0,Table1[[#This Row],[Part 6]],""))</f>
        <v/>
      </c>
      <c r="AE12" t="str">
        <f>IF(COUNTBLANK(Table1[[#This Row],[Part 7]])=0,Table1[[#This Row],[Part 7]],"")</f>
        <v/>
      </c>
    </row>
    <row r="13" spans="2:31" x14ac:dyDescent="0.35">
      <c r="B13" s="18"/>
      <c r="C13" s="26"/>
      <c r="D13" s="11" t="s">
        <v>193</v>
      </c>
      <c r="E13" s="15">
        <f>U5</f>
        <v>67.123287671232873</v>
      </c>
      <c r="H13" t="str">
        <f>_xlfn.CONCAT(Table1[[#This Row],[Eff pt 1]:[Eff pt 7]])</f>
        <v>ICs - Interface  - Analog Switch</v>
      </c>
      <c r="I13" s="6" t="s">
        <v>100</v>
      </c>
      <c r="J13" t="s">
        <v>119</v>
      </c>
      <c r="K13" t="s">
        <v>156</v>
      </c>
      <c r="P13" s="6" t="b">
        <v>0</v>
      </c>
      <c r="Q13" t="b">
        <v>0</v>
      </c>
      <c r="R13" t="b">
        <v>0</v>
      </c>
      <c r="S13" s="5" t="b">
        <v>0</v>
      </c>
      <c r="T13" t="b">
        <v>0</v>
      </c>
      <c r="U13" t="b">
        <v>1</v>
      </c>
      <c r="V13" t="b">
        <v>0</v>
      </c>
      <c r="W13">
        <v>2</v>
      </c>
      <c r="X13" s="6">
        <f>(COUNTIF(Table1[[#This Row],[Spreadsheet]:[Functionality Verified?]],"=TRUE")/7) * 100</f>
        <v>14.285714285714285</v>
      </c>
      <c r="Y13" t="str">
        <f>IF(COUNTBLANK(Table1[[#This Row],[Part 2]])=0,_xlfn.CONCAT(Table1[[#This Row],[Part 1]]," - "),IF(COUNTBLANK(Table1[[#This Row],[Part 1]])=0,Table1[[#This Row],[Part 1]],""))</f>
        <v xml:space="preserve">ICs - </v>
      </c>
      <c r="Z13" t="str">
        <f>IF(COUNTBLANK(Table1[[#This Row],[Part 3]])=0,_xlfn.CONCAT(Table1[[#This Row],[Part 2]]," - "),IF(COUNTBLANK(Table1[[#This Row],[Part 2]])=0,Table1[[#This Row],[Part 2]],""))</f>
        <v xml:space="preserve">Interface  - </v>
      </c>
      <c r="AA13" t="str">
        <f>IF(COUNTBLANK(Table1[[#This Row],[Part 4]])=0,_xlfn.CONCAT(Table1[[#This Row],[Part 3]]," - "),IF(COUNTBLANK(Table1[[#This Row],[Part 3]])=0,Table1[[#This Row],[Part 3]],""))</f>
        <v>Analog Switch</v>
      </c>
      <c r="AB13" t="str">
        <f>IF(COUNTBLANK(Table1[[#This Row],[Part 5]])=0,_xlfn.CONCAT(Table1[[#This Row],[Part 4]]," - "),IF(COUNTBLANK(Table1[[#This Row],[Part 4]])=0,Table1[[#This Row],[Part 4]],""))</f>
        <v/>
      </c>
      <c r="AC13" t="str">
        <f>IF(COUNTBLANK(Table1[[#This Row],[Part 6]])=0,_xlfn.CONCAT(Table1[[#This Row],[Part 5]]," - "),IF(COUNTBLANK(Table1[[#This Row],[Part 5]])=0,Table1[[#This Row],[Part 5]],""))</f>
        <v/>
      </c>
      <c r="AD13" t="str">
        <f>IF(COUNTBLANK(Table1[[#This Row],[Part 7]])=0,_xlfn.CONCAT(Table1[[#This Row],[Part 6]]," - "),IF(COUNTBLANK(Table1[[#This Row],[Part 6]])=0,Table1[[#This Row],[Part 6]],""))</f>
        <v/>
      </c>
      <c r="AE13" t="str">
        <f>IF(COUNTBLANK(Table1[[#This Row],[Part 7]])=0,Table1[[#This Row],[Part 7]],"")</f>
        <v/>
      </c>
    </row>
    <row r="14" spans="2:31" x14ac:dyDescent="0.35">
      <c r="B14" s="18"/>
      <c r="C14" s="24" t="s">
        <v>16</v>
      </c>
      <c r="D14" s="12" t="s">
        <v>146</v>
      </c>
      <c r="E14" s="13">
        <f>COUNTIF(W12:W9999,"=0")</f>
        <v>98</v>
      </c>
      <c r="H14" t="str">
        <f>_xlfn.CONCAT(Table1[[#This Row],[Eff pt 1]:[Eff pt 7]])</f>
        <v>Sensors - Temperature - Digital</v>
      </c>
      <c r="I14" s="6" t="s">
        <v>210</v>
      </c>
      <c r="J14" t="s">
        <v>212</v>
      </c>
      <c r="K14" t="s">
        <v>98</v>
      </c>
      <c r="P14" s="6" t="b">
        <v>0</v>
      </c>
      <c r="Q14" t="b">
        <v>0</v>
      </c>
      <c r="R14" t="b">
        <v>0</v>
      </c>
      <c r="S14" s="5" t="b">
        <v>1</v>
      </c>
      <c r="T14" t="b">
        <v>0</v>
      </c>
      <c r="U14" t="b">
        <v>0</v>
      </c>
      <c r="V14" t="b">
        <v>0</v>
      </c>
      <c r="W14">
        <v>1</v>
      </c>
      <c r="X14" s="6">
        <f>(COUNTIF(Table1[[#This Row],[Spreadsheet]:[Functionality Verified?]],"=TRUE")/7) * 100</f>
        <v>14.285714285714285</v>
      </c>
      <c r="Y14" t="str">
        <f>IF(COUNTBLANK(Table1[[#This Row],[Part 2]])=0,_xlfn.CONCAT(Table1[[#This Row],[Part 1]]," - "),IF(COUNTBLANK(Table1[[#This Row],[Part 1]])=0,Table1[[#This Row],[Part 1]],""))</f>
        <v xml:space="preserve">Sensors - </v>
      </c>
      <c r="Z14" t="str">
        <f>IF(COUNTBLANK(Table1[[#This Row],[Part 3]])=0,_xlfn.CONCAT(Table1[[#This Row],[Part 2]]," - "),IF(COUNTBLANK(Table1[[#This Row],[Part 2]])=0,Table1[[#This Row],[Part 2]],""))</f>
        <v xml:space="preserve">Temperature - </v>
      </c>
      <c r="AA14" t="str">
        <f>IF(COUNTBLANK(Table1[[#This Row],[Part 4]])=0,_xlfn.CONCAT(Table1[[#This Row],[Part 3]]," - "),IF(COUNTBLANK(Table1[[#This Row],[Part 3]])=0,Table1[[#This Row],[Part 3]],""))</f>
        <v>Digital</v>
      </c>
      <c r="AB14" t="str">
        <f>IF(COUNTBLANK(Table1[[#This Row],[Part 5]])=0,_xlfn.CONCAT(Table1[[#This Row],[Part 4]]," - "),IF(COUNTBLANK(Table1[[#This Row],[Part 4]])=0,Table1[[#This Row],[Part 4]],""))</f>
        <v/>
      </c>
      <c r="AC14" t="str">
        <f>IF(COUNTBLANK(Table1[[#This Row],[Part 6]])=0,_xlfn.CONCAT(Table1[[#This Row],[Part 5]]," - "),IF(COUNTBLANK(Table1[[#This Row],[Part 5]])=0,Table1[[#This Row],[Part 5]],""))</f>
        <v/>
      </c>
      <c r="AD14" t="str">
        <f>IF(COUNTBLANK(Table1[[#This Row],[Part 7]])=0,_xlfn.CONCAT(Table1[[#This Row],[Part 6]]," - "),IF(COUNTBLANK(Table1[[#This Row],[Part 6]])=0,Table1[[#This Row],[Part 6]],""))</f>
        <v/>
      </c>
      <c r="AE14" t="str">
        <f>IF(COUNTBLANK(Table1[[#This Row],[Part 7]])=0,Table1[[#This Row],[Part 7]],"")</f>
        <v/>
      </c>
    </row>
    <row r="15" spans="2:31" x14ac:dyDescent="0.35">
      <c r="B15" s="18"/>
      <c r="C15" s="25"/>
      <c r="D15" s="16" t="s">
        <v>145</v>
      </c>
      <c r="E15" s="14">
        <f>COUNTIF(W12:W9999,"&gt;0")</f>
        <v>8</v>
      </c>
      <c r="H15" t="str">
        <f>_xlfn.CONCAT(Table1[[#This Row],[Eff pt 1]:[Eff pt 7]])</f>
        <v>ICs - Memory - SD Card</v>
      </c>
      <c r="I15" s="6" t="s">
        <v>100</v>
      </c>
      <c r="J15" t="s">
        <v>110</v>
      </c>
      <c r="K15" t="s">
        <v>112</v>
      </c>
      <c r="P15" s="6" t="b">
        <v>0</v>
      </c>
      <c r="Q15" t="b">
        <v>0</v>
      </c>
      <c r="R15" t="b">
        <v>0</v>
      </c>
      <c r="S15" s="5" t="b">
        <v>0</v>
      </c>
      <c r="T15" t="b">
        <v>0</v>
      </c>
      <c r="U15" t="b">
        <v>1</v>
      </c>
      <c r="V15" t="b">
        <v>0</v>
      </c>
      <c r="W15">
        <v>1</v>
      </c>
      <c r="X15" s="6">
        <f>(COUNTIF(Table1[[#This Row],[Spreadsheet]:[Functionality Verified?]],"=TRUE")/7) * 100</f>
        <v>14.285714285714285</v>
      </c>
      <c r="Y15" t="str">
        <f>IF(COUNTBLANK(Table1[[#This Row],[Part 2]])=0,_xlfn.CONCAT(Table1[[#This Row],[Part 1]]," - "),IF(COUNTBLANK(Table1[[#This Row],[Part 1]])=0,Table1[[#This Row],[Part 1]],""))</f>
        <v xml:space="preserve">ICs - </v>
      </c>
      <c r="Z15" t="str">
        <f>IF(COUNTBLANK(Table1[[#This Row],[Part 3]])=0,_xlfn.CONCAT(Table1[[#This Row],[Part 2]]," - "),IF(COUNTBLANK(Table1[[#This Row],[Part 2]])=0,Table1[[#This Row],[Part 2]],""))</f>
        <v xml:space="preserve">Memory - </v>
      </c>
      <c r="AA15" t="str">
        <f>IF(COUNTBLANK(Table1[[#This Row],[Part 4]])=0,_xlfn.CONCAT(Table1[[#This Row],[Part 3]]," - "),IF(COUNTBLANK(Table1[[#This Row],[Part 3]])=0,Table1[[#This Row],[Part 3]],""))</f>
        <v>SD Card</v>
      </c>
      <c r="AB15" t="str">
        <f>IF(COUNTBLANK(Table1[[#This Row],[Part 5]])=0,_xlfn.CONCAT(Table1[[#This Row],[Part 4]]," - "),IF(COUNTBLANK(Table1[[#This Row],[Part 4]])=0,Table1[[#This Row],[Part 4]],""))</f>
        <v/>
      </c>
      <c r="AC15" t="str">
        <f>IF(COUNTBLANK(Table1[[#This Row],[Part 6]])=0,_xlfn.CONCAT(Table1[[#This Row],[Part 5]]," - "),IF(COUNTBLANK(Table1[[#This Row],[Part 5]])=0,Table1[[#This Row],[Part 5]],""))</f>
        <v/>
      </c>
      <c r="AD15" t="str">
        <f>IF(COUNTBLANK(Table1[[#This Row],[Part 7]])=0,_xlfn.CONCAT(Table1[[#This Row],[Part 6]]," - "),IF(COUNTBLANK(Table1[[#This Row],[Part 6]])=0,Table1[[#This Row],[Part 6]],""))</f>
        <v/>
      </c>
      <c r="AE15" t="str">
        <f>IF(COUNTBLANK(Table1[[#This Row],[Part 7]])=0,Table1[[#This Row],[Part 7]],"")</f>
        <v/>
      </c>
    </row>
    <row r="16" spans="2:31" x14ac:dyDescent="0.35">
      <c r="C16" s="25"/>
      <c r="D16" s="9" t="s">
        <v>148</v>
      </c>
      <c r="E16" s="14" cm="1">
        <f t="array" ref="E16">SUM(IF(W12:W9999 &gt; 0,X12:X9999,0))/COUNTIF(W12:W9999,"&gt;0")</f>
        <v>50</v>
      </c>
      <c r="H16" t="str">
        <f>_xlfn.CONCAT(Table1[[#This Row],[Eff pt 1]:[Eff pt 7]])</f>
        <v>ICs - Analog - ADC</v>
      </c>
      <c r="I16" s="6" t="s">
        <v>100</v>
      </c>
      <c r="J16" t="s">
        <v>99</v>
      </c>
      <c r="K16" t="s">
        <v>114</v>
      </c>
      <c r="P16" s="6" t="b">
        <v>1</v>
      </c>
      <c r="Q16" t="b">
        <v>1</v>
      </c>
      <c r="R16" t="b">
        <v>1</v>
      </c>
      <c r="S16" s="5" t="b">
        <v>1</v>
      </c>
      <c r="T16" t="b">
        <v>1</v>
      </c>
      <c r="U16" t="b">
        <v>1</v>
      </c>
      <c r="V16" t="s">
        <v>184</v>
      </c>
      <c r="W16">
        <v>1</v>
      </c>
      <c r="X16" s="6">
        <f>(COUNTIF(Table1[[#This Row],[Spreadsheet]:[Functionality Verified?]],"=TRUE")/7) * 100</f>
        <v>85.714285714285708</v>
      </c>
      <c r="Y16" t="str">
        <f>IF(COUNTBLANK(Table1[[#This Row],[Part 2]])=0,_xlfn.CONCAT(Table1[[#This Row],[Part 1]]," - "),IF(COUNTBLANK(Table1[[#This Row],[Part 1]])=0,Table1[[#This Row],[Part 1]],""))</f>
        <v xml:space="preserve">ICs - </v>
      </c>
      <c r="Z16" t="str">
        <f>IF(COUNTBLANK(Table1[[#This Row],[Part 3]])=0,_xlfn.CONCAT(Table1[[#This Row],[Part 2]]," - "),IF(COUNTBLANK(Table1[[#This Row],[Part 2]])=0,Table1[[#This Row],[Part 2]],""))</f>
        <v xml:space="preserve">Analog - </v>
      </c>
      <c r="AA16" t="str">
        <f>IF(COUNTBLANK(Table1[[#This Row],[Part 4]])=0,_xlfn.CONCAT(Table1[[#This Row],[Part 3]]," - "),IF(COUNTBLANK(Table1[[#This Row],[Part 3]])=0,Table1[[#This Row],[Part 3]],""))</f>
        <v>ADC</v>
      </c>
      <c r="AB16" t="str">
        <f>IF(COUNTBLANK(Table1[[#This Row],[Part 5]])=0,_xlfn.CONCAT(Table1[[#This Row],[Part 4]]," - "),IF(COUNTBLANK(Table1[[#This Row],[Part 4]])=0,Table1[[#This Row],[Part 4]],""))</f>
        <v/>
      </c>
      <c r="AC16" t="str">
        <f>IF(COUNTBLANK(Table1[[#This Row],[Part 6]])=0,_xlfn.CONCAT(Table1[[#This Row],[Part 5]]," - "),IF(COUNTBLANK(Table1[[#This Row],[Part 5]])=0,Table1[[#This Row],[Part 5]],""))</f>
        <v/>
      </c>
      <c r="AD16" t="str">
        <f>IF(COUNTBLANK(Table1[[#This Row],[Part 7]])=0,_xlfn.CONCAT(Table1[[#This Row],[Part 6]]," - "),IF(COUNTBLANK(Table1[[#This Row],[Part 6]])=0,Table1[[#This Row],[Part 6]],""))</f>
        <v/>
      </c>
      <c r="AE16" t="str">
        <f>IF(COUNTBLANK(Table1[[#This Row],[Part 7]])=0,Table1[[#This Row],[Part 7]],"")</f>
        <v/>
      </c>
    </row>
    <row r="17" spans="3:31" x14ac:dyDescent="0.35">
      <c r="C17" s="25"/>
      <c r="D17" s="9" t="s">
        <v>150</v>
      </c>
      <c r="E17" s="14" cm="1">
        <f t="array" ref="E17">SUM(IF(W12:W9999 =E18,X12:X9999,0))/SUM(IF(W12:W9997 =E18,1,0))</f>
        <v>14.285714285714285</v>
      </c>
      <c r="H17" t="str">
        <f>_xlfn.CONCAT(Table1[[#This Row],[Eff pt 1]:[Eff pt 7]])</f>
        <v>Connectors - Test Points</v>
      </c>
      <c r="I17" s="6" t="s">
        <v>34</v>
      </c>
      <c r="J17" t="s">
        <v>189</v>
      </c>
      <c r="P17" s="6" t="b">
        <v>1</v>
      </c>
      <c r="Q17" t="b">
        <v>1</v>
      </c>
      <c r="R17" t="b">
        <v>1</v>
      </c>
      <c r="S17" s="5" t="b">
        <v>1</v>
      </c>
      <c r="T17" t="b">
        <v>1</v>
      </c>
      <c r="U17" t="b">
        <v>1</v>
      </c>
      <c r="V17" t="s">
        <v>184</v>
      </c>
      <c r="W17">
        <v>1</v>
      </c>
      <c r="X17" s="6">
        <f>(COUNTIF(Table1[[#This Row],[Spreadsheet]:[Functionality Verified?]],"=TRUE")/7) * 100</f>
        <v>85.714285714285708</v>
      </c>
      <c r="Y17" t="str">
        <f>IF(COUNTBLANK(Table1[[#This Row],[Part 2]])=0,_xlfn.CONCAT(Table1[[#This Row],[Part 1]]," - "),IF(COUNTBLANK(Table1[[#This Row],[Part 1]])=0,Table1[[#This Row],[Part 1]],""))</f>
        <v xml:space="preserve">Connectors - </v>
      </c>
      <c r="Z17" t="str">
        <f>IF(COUNTBLANK(Table1[[#This Row],[Part 3]])=0,_xlfn.CONCAT(Table1[[#This Row],[Part 2]]," - "),IF(COUNTBLANK(Table1[[#This Row],[Part 2]])=0,Table1[[#This Row],[Part 2]],""))</f>
        <v>Test Points</v>
      </c>
      <c r="AA17" t="str">
        <f>IF(COUNTBLANK(Table1[[#This Row],[Part 4]])=0,_xlfn.CONCAT(Table1[[#This Row],[Part 3]]," - "),IF(COUNTBLANK(Table1[[#This Row],[Part 3]])=0,Table1[[#This Row],[Part 3]],""))</f>
        <v/>
      </c>
      <c r="AB17" t="str">
        <f>IF(COUNTBLANK(Table1[[#This Row],[Part 5]])=0,_xlfn.CONCAT(Table1[[#This Row],[Part 4]]," - "),IF(COUNTBLANK(Table1[[#This Row],[Part 4]])=0,Table1[[#This Row],[Part 4]],""))</f>
        <v/>
      </c>
      <c r="AC17" t="str">
        <f>IF(COUNTBLANK(Table1[[#This Row],[Part 6]])=0,_xlfn.CONCAT(Table1[[#This Row],[Part 5]]," - "),IF(COUNTBLANK(Table1[[#This Row],[Part 5]])=0,Table1[[#This Row],[Part 5]],""))</f>
        <v/>
      </c>
      <c r="AD17" t="str">
        <f>IF(COUNTBLANK(Table1[[#This Row],[Part 7]])=0,_xlfn.CONCAT(Table1[[#This Row],[Part 6]]," - "),IF(COUNTBLANK(Table1[[#This Row],[Part 6]])=0,Table1[[#This Row],[Part 6]],""))</f>
        <v/>
      </c>
      <c r="AE17" t="str">
        <f>IF(COUNTBLANK(Table1[[#This Row],[Part 7]])=0,Table1[[#This Row],[Part 7]],"")</f>
        <v/>
      </c>
    </row>
    <row r="18" spans="3:31" x14ac:dyDescent="0.35">
      <c r="D18" s="9" t="s">
        <v>178</v>
      </c>
      <c r="E18">
        <f>MAX(Table1[Priority])</f>
        <v>2</v>
      </c>
      <c r="H18" t="str">
        <f>_xlfn.CONCAT(Table1[[#This Row],[Eff pt 1]:[Eff pt 7]])</f>
        <v>Connectors - Terminal Blocks - Wire to Board</v>
      </c>
      <c r="I18" s="6" t="s">
        <v>34</v>
      </c>
      <c r="J18" t="s">
        <v>61</v>
      </c>
      <c r="K18" t="s">
        <v>215</v>
      </c>
      <c r="P18" s="6" t="b">
        <v>1</v>
      </c>
      <c r="Q18" t="b">
        <v>1</v>
      </c>
      <c r="R18" t="b">
        <v>1</v>
      </c>
      <c r="S18" s="5" t="b">
        <v>1</v>
      </c>
      <c r="T18" t="b">
        <v>1</v>
      </c>
      <c r="U18" t="b">
        <v>1</v>
      </c>
      <c r="V18" t="s">
        <v>184</v>
      </c>
      <c r="W18">
        <v>1</v>
      </c>
      <c r="X18" s="6">
        <f>(COUNTIF(Table1[[#This Row],[Spreadsheet]:[Functionality Verified?]],"=TRUE")/7) * 100</f>
        <v>85.714285714285708</v>
      </c>
      <c r="Y18" t="str">
        <f>IF(COUNTBLANK(Table1[[#This Row],[Part 2]])=0,_xlfn.CONCAT(Table1[[#This Row],[Part 1]]," - "),IF(COUNTBLANK(Table1[[#This Row],[Part 1]])=0,Table1[[#This Row],[Part 1]],""))</f>
        <v xml:space="preserve">Connectors - </v>
      </c>
      <c r="Z18" t="str">
        <f>IF(COUNTBLANK(Table1[[#This Row],[Part 3]])=0,_xlfn.CONCAT(Table1[[#This Row],[Part 2]]," - "),IF(COUNTBLANK(Table1[[#This Row],[Part 2]])=0,Table1[[#This Row],[Part 2]],""))</f>
        <v xml:space="preserve">Terminal Blocks - </v>
      </c>
      <c r="AA18" t="str">
        <f>IF(COUNTBLANK(Table1[[#This Row],[Part 4]])=0,_xlfn.CONCAT(Table1[[#This Row],[Part 3]]," - "),IF(COUNTBLANK(Table1[[#This Row],[Part 3]])=0,Table1[[#This Row],[Part 3]],""))</f>
        <v>Wire to Board</v>
      </c>
      <c r="AB18" t="str">
        <f>IF(COUNTBLANK(Table1[[#This Row],[Part 5]])=0,_xlfn.CONCAT(Table1[[#This Row],[Part 4]]," - "),IF(COUNTBLANK(Table1[[#This Row],[Part 4]])=0,Table1[[#This Row],[Part 4]],""))</f>
        <v/>
      </c>
      <c r="AC18" t="str">
        <f>IF(COUNTBLANK(Table1[[#This Row],[Part 6]])=0,_xlfn.CONCAT(Table1[[#This Row],[Part 5]]," - "),IF(COUNTBLANK(Table1[[#This Row],[Part 5]])=0,Table1[[#This Row],[Part 5]],""))</f>
        <v/>
      </c>
      <c r="AD18" t="str">
        <f>IF(COUNTBLANK(Table1[[#This Row],[Part 7]])=0,_xlfn.CONCAT(Table1[[#This Row],[Part 6]]," - "),IF(COUNTBLANK(Table1[[#This Row],[Part 6]])=0,Table1[[#This Row],[Part 6]],""))</f>
        <v/>
      </c>
      <c r="AE18" t="str">
        <f>IF(COUNTBLANK(Table1[[#This Row],[Part 7]])=0,Table1[[#This Row],[Part 7]],"")</f>
        <v/>
      </c>
    </row>
    <row r="19" spans="3:31" x14ac:dyDescent="0.35">
      <c r="H19" t="str">
        <f>_xlfn.CONCAT(Table1[[#This Row],[Eff pt 1]:[Eff pt 7]])</f>
        <v>Connectors - SD Card Socket</v>
      </c>
      <c r="I19" s="6" t="s">
        <v>34</v>
      </c>
      <c r="J19" t="s">
        <v>56</v>
      </c>
      <c r="P19" s="6" t="b">
        <v>1</v>
      </c>
      <c r="Q19" t="b">
        <v>1</v>
      </c>
      <c r="R19" t="b">
        <v>1</v>
      </c>
      <c r="S19" s="5" t="b">
        <v>1</v>
      </c>
      <c r="T19" t="b">
        <v>1</v>
      </c>
      <c r="U19" t="b">
        <v>1</v>
      </c>
      <c r="V19" t="s">
        <v>184</v>
      </c>
      <c r="W19">
        <v>1</v>
      </c>
      <c r="X19" s="6">
        <f>(COUNTIF(Table1[[#This Row],[Spreadsheet]:[Functionality Verified?]],"=TRUE")/7) * 100</f>
        <v>85.714285714285708</v>
      </c>
      <c r="Y19" t="str">
        <f>IF(COUNTBLANK(Table1[[#This Row],[Part 2]])=0,_xlfn.CONCAT(Table1[[#This Row],[Part 1]]," - "),IF(COUNTBLANK(Table1[[#This Row],[Part 1]])=0,Table1[[#This Row],[Part 1]],""))</f>
        <v xml:space="preserve">Connectors - </v>
      </c>
      <c r="Z19" t="str">
        <f>IF(COUNTBLANK(Table1[[#This Row],[Part 3]])=0,_xlfn.CONCAT(Table1[[#This Row],[Part 2]]," - "),IF(COUNTBLANK(Table1[[#This Row],[Part 2]])=0,Table1[[#This Row],[Part 2]],""))</f>
        <v>SD Card Socket</v>
      </c>
      <c r="AA19" t="str">
        <f>IF(COUNTBLANK(Table1[[#This Row],[Part 4]])=0,_xlfn.CONCAT(Table1[[#This Row],[Part 3]]," - "),IF(COUNTBLANK(Table1[[#This Row],[Part 3]])=0,Table1[[#This Row],[Part 3]],""))</f>
        <v/>
      </c>
      <c r="AB19" t="str">
        <f>IF(COUNTBLANK(Table1[[#This Row],[Part 5]])=0,_xlfn.CONCAT(Table1[[#This Row],[Part 4]]," - "),IF(COUNTBLANK(Table1[[#This Row],[Part 4]])=0,Table1[[#This Row],[Part 4]],""))</f>
        <v/>
      </c>
      <c r="AC19" t="str">
        <f>IF(COUNTBLANK(Table1[[#This Row],[Part 6]])=0,_xlfn.CONCAT(Table1[[#This Row],[Part 5]]," - "),IF(COUNTBLANK(Table1[[#This Row],[Part 5]])=0,Table1[[#This Row],[Part 5]],""))</f>
        <v/>
      </c>
      <c r="AD19" t="str">
        <f>IF(COUNTBLANK(Table1[[#This Row],[Part 7]])=0,_xlfn.CONCAT(Table1[[#This Row],[Part 6]]," - "),IF(COUNTBLANK(Table1[[#This Row],[Part 6]])=0,Table1[[#This Row],[Part 6]],""))</f>
        <v/>
      </c>
      <c r="AE19" t="str">
        <f>IF(COUNTBLANK(Table1[[#This Row],[Part 7]])=0,Table1[[#This Row],[Part 7]],"")</f>
        <v/>
      </c>
    </row>
    <row r="20" spans="3:31" x14ac:dyDescent="0.35">
      <c r="H20" t="str">
        <f>_xlfn.CONCAT(Table1[[#This Row],[Eff pt 1]:[Eff pt 7]])</f>
        <v>Voltage References - General Purpose</v>
      </c>
      <c r="I20" s="6" t="s">
        <v>185</v>
      </c>
      <c r="J20" t="s">
        <v>222</v>
      </c>
      <c r="P20" s="6" t="b">
        <v>1</v>
      </c>
      <c r="Q20" t="b">
        <v>1</v>
      </c>
      <c r="R20" t="b">
        <v>1</v>
      </c>
      <c r="S20" s="5" t="b">
        <v>1</v>
      </c>
      <c r="T20" t="b">
        <v>1</v>
      </c>
      <c r="U20" t="b">
        <v>1</v>
      </c>
      <c r="V20" t="b">
        <v>0</v>
      </c>
      <c r="W20">
        <v>0</v>
      </c>
      <c r="X20" s="6">
        <f>(COUNTIF(Table1[[#This Row],[Spreadsheet]:[Functionality Verified?]],"=TRUE")/7) * 100</f>
        <v>85.714285714285708</v>
      </c>
      <c r="Y20" t="str">
        <f>IF(COUNTBLANK(Table1[[#This Row],[Part 2]])=0,_xlfn.CONCAT(Table1[[#This Row],[Part 1]]," - "),IF(COUNTBLANK(Table1[[#This Row],[Part 1]])=0,Table1[[#This Row],[Part 1]],""))</f>
        <v xml:space="preserve">Voltage References - </v>
      </c>
      <c r="Z20" t="str">
        <f>IF(COUNTBLANK(Table1[[#This Row],[Part 3]])=0,_xlfn.CONCAT(Table1[[#This Row],[Part 2]]," - "),IF(COUNTBLANK(Table1[[#This Row],[Part 2]])=0,Table1[[#This Row],[Part 2]],""))</f>
        <v>General Purpose</v>
      </c>
      <c r="AA20" t="str">
        <f>IF(COUNTBLANK(Table1[[#This Row],[Part 4]])=0,_xlfn.CONCAT(Table1[[#This Row],[Part 3]]," - "),IF(COUNTBLANK(Table1[[#This Row],[Part 3]])=0,Table1[[#This Row],[Part 3]],""))</f>
        <v/>
      </c>
      <c r="AB20" t="str">
        <f>IF(COUNTBLANK(Table1[[#This Row],[Part 5]])=0,_xlfn.CONCAT(Table1[[#This Row],[Part 4]]," - "),IF(COUNTBLANK(Table1[[#This Row],[Part 4]])=0,Table1[[#This Row],[Part 4]],""))</f>
        <v/>
      </c>
      <c r="AC20" t="str">
        <f>IF(COUNTBLANK(Table1[[#This Row],[Part 6]])=0,_xlfn.CONCAT(Table1[[#This Row],[Part 5]]," - "),IF(COUNTBLANK(Table1[[#This Row],[Part 5]])=0,Table1[[#This Row],[Part 5]],""))</f>
        <v/>
      </c>
      <c r="AD20" t="str">
        <f>IF(COUNTBLANK(Table1[[#This Row],[Part 7]])=0,_xlfn.CONCAT(Table1[[#This Row],[Part 6]]," - "),IF(COUNTBLANK(Table1[[#This Row],[Part 6]])=0,Table1[[#This Row],[Part 6]],""))</f>
        <v/>
      </c>
      <c r="AE20" t="str">
        <f>IF(COUNTBLANK(Table1[[#This Row],[Part 7]])=0,Table1[[#This Row],[Part 7]],"")</f>
        <v/>
      </c>
    </row>
    <row r="21" spans="3:31" x14ac:dyDescent="0.35">
      <c r="H21" t="str">
        <f>_xlfn.CONCAT(Table1[[#This Row],[Eff pt 1]:[Eff pt 7]])</f>
        <v>Discreet - Diodes - Zener</v>
      </c>
      <c r="I21" s="6" t="s">
        <v>89</v>
      </c>
      <c r="J21" t="s">
        <v>90</v>
      </c>
      <c r="K21" t="s">
        <v>221</v>
      </c>
      <c r="P21" s="6" t="b">
        <v>1</v>
      </c>
      <c r="Q21" t="b">
        <v>1</v>
      </c>
      <c r="R21" t="b">
        <v>1</v>
      </c>
      <c r="S21" s="5" t="b">
        <v>1</v>
      </c>
      <c r="T21" t="b">
        <v>1</v>
      </c>
      <c r="U21" t="b">
        <v>1</v>
      </c>
      <c r="V21" t="s">
        <v>184</v>
      </c>
      <c r="W21">
        <v>0</v>
      </c>
      <c r="X21" s="6">
        <f>(COUNTIF(Table1[[#This Row],[Spreadsheet]:[Functionality Verified?]],"=TRUE")/7) * 100</f>
        <v>85.714285714285708</v>
      </c>
      <c r="Y21" t="str">
        <f>IF(COUNTBLANK(Table1[[#This Row],[Part 2]])=0,_xlfn.CONCAT(Table1[[#This Row],[Part 1]]," - "),IF(COUNTBLANK(Table1[[#This Row],[Part 1]])=0,Table1[[#This Row],[Part 1]],""))</f>
        <v xml:space="preserve">Discreet - </v>
      </c>
      <c r="Z21" t="str">
        <f>IF(COUNTBLANK(Table1[[#This Row],[Part 3]])=0,_xlfn.CONCAT(Table1[[#This Row],[Part 2]]," - "),IF(COUNTBLANK(Table1[[#This Row],[Part 2]])=0,Table1[[#This Row],[Part 2]],""))</f>
        <v xml:space="preserve">Diodes - </v>
      </c>
      <c r="AA21" t="str">
        <f>IF(COUNTBLANK(Table1[[#This Row],[Part 4]])=0,_xlfn.CONCAT(Table1[[#This Row],[Part 3]]," - "),IF(COUNTBLANK(Table1[[#This Row],[Part 3]])=0,Table1[[#This Row],[Part 3]],""))</f>
        <v>Zener</v>
      </c>
      <c r="AB21" t="str">
        <f>IF(COUNTBLANK(Table1[[#This Row],[Part 5]])=0,_xlfn.CONCAT(Table1[[#This Row],[Part 4]]," - "),IF(COUNTBLANK(Table1[[#This Row],[Part 4]])=0,Table1[[#This Row],[Part 4]],""))</f>
        <v/>
      </c>
      <c r="AC21" t="str">
        <f>IF(COUNTBLANK(Table1[[#This Row],[Part 6]])=0,_xlfn.CONCAT(Table1[[#This Row],[Part 5]]," - "),IF(COUNTBLANK(Table1[[#This Row],[Part 5]])=0,Table1[[#This Row],[Part 5]],""))</f>
        <v/>
      </c>
      <c r="AD21" t="str">
        <f>IF(COUNTBLANK(Table1[[#This Row],[Part 7]])=0,_xlfn.CONCAT(Table1[[#This Row],[Part 6]]," - "),IF(COUNTBLANK(Table1[[#This Row],[Part 6]])=0,Table1[[#This Row],[Part 6]],""))</f>
        <v/>
      </c>
      <c r="AE21" t="str">
        <f>IF(COUNTBLANK(Table1[[#This Row],[Part 7]])=0,Table1[[#This Row],[Part 7]],"")</f>
        <v/>
      </c>
    </row>
    <row r="22" spans="3:31" x14ac:dyDescent="0.35">
      <c r="H22" t="str">
        <f>_xlfn.CONCAT(Table1[[#This Row],[Eff pt 1]:[Eff pt 7]])</f>
        <v>Transformer - Power - PCB Mount</v>
      </c>
      <c r="I22" s="6" t="s">
        <v>87</v>
      </c>
      <c r="J22" t="s">
        <v>88</v>
      </c>
      <c r="K22" t="s">
        <v>69</v>
      </c>
      <c r="P22" s="6" t="b">
        <v>0</v>
      </c>
      <c r="Q22" t="b">
        <v>0</v>
      </c>
      <c r="R22" t="b">
        <v>0</v>
      </c>
      <c r="S22" s="5" t="b">
        <v>0</v>
      </c>
      <c r="T22" t="b">
        <v>0</v>
      </c>
      <c r="U22" t="b">
        <v>0</v>
      </c>
      <c r="V22" t="b">
        <v>0</v>
      </c>
      <c r="W22">
        <v>0</v>
      </c>
      <c r="X22" s="6">
        <f>(COUNTIF(Table1[[#This Row],[Spreadsheet]:[Functionality Verified?]],"=TRUE")/7) * 100</f>
        <v>0</v>
      </c>
      <c r="Y22" t="str">
        <f>IF(COUNTBLANK(Table1[[#This Row],[Part 2]])=0,_xlfn.CONCAT(Table1[[#This Row],[Part 1]]," - "),IF(COUNTBLANK(Table1[[#This Row],[Part 1]])=0,Table1[[#This Row],[Part 1]],""))</f>
        <v xml:space="preserve">Transformer - </v>
      </c>
      <c r="Z22" t="str">
        <f>IF(COUNTBLANK(Table1[[#This Row],[Part 3]])=0,_xlfn.CONCAT(Table1[[#This Row],[Part 2]]," - "),IF(COUNTBLANK(Table1[[#This Row],[Part 2]])=0,Table1[[#This Row],[Part 2]],""))</f>
        <v xml:space="preserve">Power - </v>
      </c>
      <c r="AA22" t="str">
        <f>IF(COUNTBLANK(Table1[[#This Row],[Part 4]])=0,_xlfn.CONCAT(Table1[[#This Row],[Part 3]]," - "),IF(COUNTBLANK(Table1[[#This Row],[Part 3]])=0,Table1[[#This Row],[Part 3]],""))</f>
        <v>PCB Mount</v>
      </c>
      <c r="AB22" t="str">
        <f>IF(COUNTBLANK(Table1[[#This Row],[Part 5]])=0,_xlfn.CONCAT(Table1[[#This Row],[Part 4]]," - "),IF(COUNTBLANK(Table1[[#This Row],[Part 4]])=0,Table1[[#This Row],[Part 4]],""))</f>
        <v/>
      </c>
      <c r="AC22" t="str">
        <f>IF(COUNTBLANK(Table1[[#This Row],[Part 6]])=0,_xlfn.CONCAT(Table1[[#This Row],[Part 5]]," - "),IF(COUNTBLANK(Table1[[#This Row],[Part 5]])=0,Table1[[#This Row],[Part 5]],""))</f>
        <v/>
      </c>
      <c r="AD22" t="str">
        <f>IF(COUNTBLANK(Table1[[#This Row],[Part 7]])=0,_xlfn.CONCAT(Table1[[#This Row],[Part 6]]," - "),IF(COUNTBLANK(Table1[[#This Row],[Part 6]])=0,Table1[[#This Row],[Part 6]],""))</f>
        <v/>
      </c>
      <c r="AE22" t="str">
        <f>IF(COUNTBLANK(Table1[[#This Row],[Part 7]])=0,Table1[[#This Row],[Part 7]],"")</f>
        <v/>
      </c>
    </row>
    <row r="23" spans="3:31" x14ac:dyDescent="0.35">
      <c r="H23" t="str">
        <f>_xlfn.CONCAT(Table1[[#This Row],[Eff pt 1]:[Eff pt 7]])</f>
        <v>Transformer - Power - Chasis Mount</v>
      </c>
      <c r="I23" s="6" t="s">
        <v>87</v>
      </c>
      <c r="J23" t="s">
        <v>88</v>
      </c>
      <c r="K23" t="s">
        <v>86</v>
      </c>
      <c r="P23" s="6" t="b">
        <v>0</v>
      </c>
      <c r="Q23" t="b">
        <v>0</v>
      </c>
      <c r="R23" t="b">
        <v>0</v>
      </c>
      <c r="S23" s="5" t="b">
        <v>0</v>
      </c>
      <c r="T23" t="b">
        <v>0</v>
      </c>
      <c r="U23" t="b">
        <v>0</v>
      </c>
      <c r="V23" t="b">
        <v>0</v>
      </c>
      <c r="W23">
        <v>0</v>
      </c>
      <c r="X23" s="6">
        <f>(COUNTIF(Table1[[#This Row],[Spreadsheet]:[Functionality Verified?]],"=TRUE")/7) * 100</f>
        <v>0</v>
      </c>
      <c r="Y23" t="str">
        <f>IF(COUNTBLANK(Table1[[#This Row],[Part 2]])=0,_xlfn.CONCAT(Table1[[#This Row],[Part 1]]," - "),IF(COUNTBLANK(Table1[[#This Row],[Part 1]])=0,Table1[[#This Row],[Part 1]],""))</f>
        <v xml:space="preserve">Transformer - </v>
      </c>
      <c r="Z23" t="str">
        <f>IF(COUNTBLANK(Table1[[#This Row],[Part 3]])=0,_xlfn.CONCAT(Table1[[#This Row],[Part 2]]," - "),IF(COUNTBLANK(Table1[[#This Row],[Part 2]])=0,Table1[[#This Row],[Part 2]],""))</f>
        <v xml:space="preserve">Power - </v>
      </c>
      <c r="AA23" t="str">
        <f>IF(COUNTBLANK(Table1[[#This Row],[Part 4]])=0,_xlfn.CONCAT(Table1[[#This Row],[Part 3]]," - "),IF(COUNTBLANK(Table1[[#This Row],[Part 3]])=0,Table1[[#This Row],[Part 3]],""))</f>
        <v>Chasis Mount</v>
      </c>
      <c r="AB23" t="str">
        <f>IF(COUNTBLANK(Table1[[#This Row],[Part 5]])=0,_xlfn.CONCAT(Table1[[#This Row],[Part 4]]," - "),IF(COUNTBLANK(Table1[[#This Row],[Part 4]])=0,Table1[[#This Row],[Part 4]],""))</f>
        <v/>
      </c>
      <c r="AC23" t="str">
        <f>IF(COUNTBLANK(Table1[[#This Row],[Part 6]])=0,_xlfn.CONCAT(Table1[[#This Row],[Part 5]]," - "),IF(COUNTBLANK(Table1[[#This Row],[Part 5]])=0,Table1[[#This Row],[Part 5]],""))</f>
        <v/>
      </c>
      <c r="AD23" t="str">
        <f>IF(COUNTBLANK(Table1[[#This Row],[Part 7]])=0,_xlfn.CONCAT(Table1[[#This Row],[Part 6]]," - "),IF(COUNTBLANK(Table1[[#This Row],[Part 6]])=0,Table1[[#This Row],[Part 6]],""))</f>
        <v/>
      </c>
      <c r="AE23" t="str">
        <f>IF(COUNTBLANK(Table1[[#This Row],[Part 7]])=0,Table1[[#This Row],[Part 7]],"")</f>
        <v/>
      </c>
    </row>
    <row r="24" spans="3:31" x14ac:dyDescent="0.35">
      <c r="H24" t="str">
        <f>_xlfn.CONCAT(Table1[[#This Row],[Eff pt 1]:[Eff pt 7]])</f>
        <v>Thermal - Tape</v>
      </c>
      <c r="I24" s="6" t="s">
        <v>45</v>
      </c>
      <c r="J24" s="6" t="s">
        <v>220</v>
      </c>
      <c r="P24" s="6" t="b">
        <v>0</v>
      </c>
      <c r="Q24" t="b">
        <v>0</v>
      </c>
      <c r="R24" t="b">
        <v>0</v>
      </c>
      <c r="S24" s="5" t="b">
        <v>0</v>
      </c>
      <c r="T24" t="b">
        <v>0</v>
      </c>
      <c r="U24" t="b">
        <v>0</v>
      </c>
      <c r="V24" t="b">
        <v>0</v>
      </c>
      <c r="W24">
        <v>0</v>
      </c>
      <c r="X24" s="6">
        <f>(COUNTIF(Table1[[#This Row],[Spreadsheet]:[Functionality Verified?]],"=TRUE")/7) * 100</f>
        <v>0</v>
      </c>
      <c r="Y24" t="str">
        <f>IF(COUNTBLANK(Table1[[#This Row],[Part 2]])=0,_xlfn.CONCAT(Table1[[#This Row],[Part 1]]," - "),IF(COUNTBLANK(Table1[[#This Row],[Part 1]])=0,Table1[[#This Row],[Part 1]],""))</f>
        <v xml:space="preserve">Thermal - </v>
      </c>
      <c r="Z24" t="str">
        <f>IF(COUNTBLANK(Table1[[#This Row],[Part 3]])=0,_xlfn.CONCAT(Table1[[#This Row],[Part 2]]," - "),IF(COUNTBLANK(Table1[[#This Row],[Part 2]])=0,Table1[[#This Row],[Part 2]],""))</f>
        <v>Tape</v>
      </c>
      <c r="AA24" t="str">
        <f>IF(COUNTBLANK(Table1[[#This Row],[Part 4]])=0,_xlfn.CONCAT(Table1[[#This Row],[Part 3]]," - "),IF(COUNTBLANK(Table1[[#This Row],[Part 3]])=0,Table1[[#This Row],[Part 3]],""))</f>
        <v/>
      </c>
      <c r="AB24" t="str">
        <f>IF(COUNTBLANK(Table1[[#This Row],[Part 5]])=0,_xlfn.CONCAT(Table1[[#This Row],[Part 4]]," - "),IF(COUNTBLANK(Table1[[#This Row],[Part 4]])=0,Table1[[#This Row],[Part 4]],""))</f>
        <v/>
      </c>
      <c r="AC24" t="str">
        <f>IF(COUNTBLANK(Table1[[#This Row],[Part 6]])=0,_xlfn.CONCAT(Table1[[#This Row],[Part 5]]," - "),IF(COUNTBLANK(Table1[[#This Row],[Part 5]])=0,Table1[[#This Row],[Part 5]],""))</f>
        <v/>
      </c>
      <c r="AD24" t="str">
        <f>IF(COUNTBLANK(Table1[[#This Row],[Part 7]])=0,_xlfn.CONCAT(Table1[[#This Row],[Part 6]]," - "),IF(COUNTBLANK(Table1[[#This Row],[Part 6]])=0,Table1[[#This Row],[Part 6]],""))</f>
        <v/>
      </c>
      <c r="AE24" t="str">
        <f>IF(COUNTBLANK(Table1[[#This Row],[Part 7]])=0,Table1[[#This Row],[Part 7]],"")</f>
        <v/>
      </c>
    </row>
    <row r="25" spans="3:31" x14ac:dyDescent="0.35">
      <c r="H25" t="str">
        <f>_xlfn.CONCAT(Table1[[#This Row],[Eff pt 1]:[Eff pt 7]])</f>
        <v>Thermal - Paste</v>
      </c>
      <c r="I25" s="6" t="s">
        <v>45</v>
      </c>
      <c r="J25" t="s">
        <v>218</v>
      </c>
      <c r="P25" s="6" t="b">
        <v>0</v>
      </c>
      <c r="Q25" t="b">
        <v>0</v>
      </c>
      <c r="R25" t="b">
        <v>0</v>
      </c>
      <c r="S25" s="5" t="b">
        <v>1</v>
      </c>
      <c r="T25" s="5" t="b">
        <v>0</v>
      </c>
      <c r="U25" s="5" t="b">
        <v>0</v>
      </c>
      <c r="V25" t="b">
        <v>0</v>
      </c>
      <c r="W25">
        <v>0</v>
      </c>
      <c r="X25" s="6">
        <f>(COUNTIF(Table1[[#This Row],[Spreadsheet]:[Functionality Verified?]],"=TRUE")/7) * 100</f>
        <v>14.285714285714285</v>
      </c>
      <c r="Y25" t="str">
        <f>IF(COUNTBLANK(Table1[[#This Row],[Part 2]])=0,_xlfn.CONCAT(Table1[[#This Row],[Part 1]]," - "),IF(COUNTBLANK(Table1[[#This Row],[Part 1]])=0,Table1[[#This Row],[Part 1]],""))</f>
        <v xml:space="preserve">Thermal - </v>
      </c>
      <c r="Z25" t="str">
        <f>IF(COUNTBLANK(Table1[[#This Row],[Part 3]])=0,_xlfn.CONCAT(Table1[[#This Row],[Part 2]]," - "),IF(COUNTBLANK(Table1[[#This Row],[Part 2]])=0,Table1[[#This Row],[Part 2]],""))</f>
        <v>Paste</v>
      </c>
      <c r="AA25" t="str">
        <f>IF(COUNTBLANK(Table1[[#This Row],[Part 4]])=0,_xlfn.CONCAT(Table1[[#This Row],[Part 3]]," - "),IF(COUNTBLANK(Table1[[#This Row],[Part 3]])=0,Table1[[#This Row],[Part 3]],""))</f>
        <v/>
      </c>
      <c r="AB25" t="str">
        <f>IF(COUNTBLANK(Table1[[#This Row],[Part 5]])=0,_xlfn.CONCAT(Table1[[#This Row],[Part 4]]," - "),IF(COUNTBLANK(Table1[[#This Row],[Part 4]])=0,Table1[[#This Row],[Part 4]],""))</f>
        <v/>
      </c>
      <c r="AC25" t="str">
        <f>IF(COUNTBLANK(Table1[[#This Row],[Part 6]])=0,_xlfn.CONCAT(Table1[[#This Row],[Part 5]]," - "),IF(COUNTBLANK(Table1[[#This Row],[Part 5]])=0,Table1[[#This Row],[Part 5]],""))</f>
        <v/>
      </c>
      <c r="AD25" t="str">
        <f>IF(COUNTBLANK(Table1[[#This Row],[Part 7]])=0,_xlfn.CONCAT(Table1[[#This Row],[Part 6]]," - "),IF(COUNTBLANK(Table1[[#This Row],[Part 6]])=0,Table1[[#This Row],[Part 6]],""))</f>
        <v/>
      </c>
      <c r="AE25" t="str">
        <f>IF(COUNTBLANK(Table1[[#This Row],[Part 7]])=0,Table1[[#This Row],[Part 7]],"")</f>
        <v/>
      </c>
    </row>
    <row r="26" spans="3:31" x14ac:dyDescent="0.35">
      <c r="H26" t="str">
        <f>_xlfn.CONCAT(Table1[[#This Row],[Eff pt 1]:[Eff pt 7]])</f>
        <v>Thermal - Glue</v>
      </c>
      <c r="I26" s="6" t="s">
        <v>45</v>
      </c>
      <c r="J26" t="s">
        <v>219</v>
      </c>
      <c r="P26" s="6" t="b">
        <v>0</v>
      </c>
      <c r="Q26" t="b">
        <v>0</v>
      </c>
      <c r="R26" t="b">
        <v>0</v>
      </c>
      <c r="S26" s="5" t="b">
        <v>0</v>
      </c>
      <c r="T26" t="b">
        <v>0</v>
      </c>
      <c r="U26" t="b">
        <v>0</v>
      </c>
      <c r="V26" t="b">
        <v>0</v>
      </c>
      <c r="W26">
        <v>0</v>
      </c>
      <c r="X26" s="6">
        <f>(COUNTIF(Table1[[#This Row],[Spreadsheet]:[Functionality Verified?]],"=TRUE")/7) * 100</f>
        <v>0</v>
      </c>
      <c r="Y26" t="str">
        <f>IF(COUNTBLANK(Table1[[#This Row],[Part 2]])=0,_xlfn.CONCAT(Table1[[#This Row],[Part 1]]," - "),IF(COUNTBLANK(Table1[[#This Row],[Part 1]])=0,Table1[[#This Row],[Part 1]],""))</f>
        <v xml:space="preserve">Thermal - </v>
      </c>
      <c r="Z26" t="str">
        <f>IF(COUNTBLANK(Table1[[#This Row],[Part 3]])=0,_xlfn.CONCAT(Table1[[#This Row],[Part 2]]," - "),IF(COUNTBLANK(Table1[[#This Row],[Part 2]])=0,Table1[[#This Row],[Part 2]],""))</f>
        <v>Glue</v>
      </c>
      <c r="AA26" t="str">
        <f>IF(COUNTBLANK(Table1[[#This Row],[Part 4]])=0,_xlfn.CONCAT(Table1[[#This Row],[Part 3]]," - "),IF(COUNTBLANK(Table1[[#This Row],[Part 3]])=0,Table1[[#This Row],[Part 3]],""))</f>
        <v/>
      </c>
      <c r="AB26" t="str">
        <f>IF(COUNTBLANK(Table1[[#This Row],[Part 5]])=0,_xlfn.CONCAT(Table1[[#This Row],[Part 4]]," - "),IF(COUNTBLANK(Table1[[#This Row],[Part 4]])=0,Table1[[#This Row],[Part 4]],""))</f>
        <v/>
      </c>
      <c r="AC26" t="str">
        <f>IF(COUNTBLANK(Table1[[#This Row],[Part 6]])=0,_xlfn.CONCAT(Table1[[#This Row],[Part 5]]," - "),IF(COUNTBLANK(Table1[[#This Row],[Part 5]])=0,Table1[[#This Row],[Part 5]],""))</f>
        <v/>
      </c>
      <c r="AD26" t="str">
        <f>IF(COUNTBLANK(Table1[[#This Row],[Part 7]])=0,_xlfn.CONCAT(Table1[[#This Row],[Part 6]]," - "),IF(COUNTBLANK(Table1[[#This Row],[Part 6]])=0,Table1[[#This Row],[Part 6]],""))</f>
        <v/>
      </c>
      <c r="AE26" t="str">
        <f>IF(COUNTBLANK(Table1[[#This Row],[Part 7]])=0,Table1[[#This Row],[Part 7]],"")</f>
        <v/>
      </c>
    </row>
    <row r="27" spans="3:31" x14ac:dyDescent="0.35">
      <c r="H27" t="str">
        <f>_xlfn.CONCAT(Table1[[#This Row],[Eff pt 1]:[Eff pt 7]])</f>
        <v>Sensors - Touch Sensor - Capacitive</v>
      </c>
      <c r="I27" s="6" t="s">
        <v>210</v>
      </c>
      <c r="J27" t="s">
        <v>157</v>
      </c>
      <c r="K27" t="s">
        <v>158</v>
      </c>
      <c r="P27" s="6" t="b">
        <v>0</v>
      </c>
      <c r="Q27" t="b">
        <v>0</v>
      </c>
      <c r="R27" t="b">
        <v>0</v>
      </c>
      <c r="S27" s="5" t="b">
        <v>0</v>
      </c>
      <c r="T27" t="b">
        <v>0</v>
      </c>
      <c r="U27" t="b">
        <v>0</v>
      </c>
      <c r="V27" t="b">
        <v>0</v>
      </c>
      <c r="W27">
        <v>0</v>
      </c>
      <c r="X27" s="6">
        <f>(COUNTIF(Table1[[#This Row],[Spreadsheet]:[Functionality Verified?]],"=TRUE")/7) * 100</f>
        <v>0</v>
      </c>
      <c r="Y27" t="str">
        <f>IF(COUNTBLANK(Table1[[#This Row],[Part 2]])=0,_xlfn.CONCAT(Table1[[#This Row],[Part 1]]," - "),IF(COUNTBLANK(Table1[[#This Row],[Part 1]])=0,Table1[[#This Row],[Part 1]],""))</f>
        <v xml:space="preserve">Sensors - </v>
      </c>
      <c r="Z27" t="str">
        <f>IF(COUNTBLANK(Table1[[#This Row],[Part 3]])=0,_xlfn.CONCAT(Table1[[#This Row],[Part 2]]," - "),IF(COUNTBLANK(Table1[[#This Row],[Part 2]])=0,Table1[[#This Row],[Part 2]],""))</f>
        <v xml:space="preserve">Touch Sensor - </v>
      </c>
      <c r="AA27" t="str">
        <f>IF(COUNTBLANK(Table1[[#This Row],[Part 4]])=0,_xlfn.CONCAT(Table1[[#This Row],[Part 3]]," - "),IF(COUNTBLANK(Table1[[#This Row],[Part 3]])=0,Table1[[#This Row],[Part 3]],""))</f>
        <v>Capacitive</v>
      </c>
      <c r="AB27" t="str">
        <f>IF(COUNTBLANK(Table1[[#This Row],[Part 5]])=0,_xlfn.CONCAT(Table1[[#This Row],[Part 4]]," - "),IF(COUNTBLANK(Table1[[#This Row],[Part 4]])=0,Table1[[#This Row],[Part 4]],""))</f>
        <v/>
      </c>
      <c r="AC27" t="str">
        <f>IF(COUNTBLANK(Table1[[#This Row],[Part 6]])=0,_xlfn.CONCAT(Table1[[#This Row],[Part 5]]," - "),IF(COUNTBLANK(Table1[[#This Row],[Part 5]])=0,Table1[[#This Row],[Part 5]],""))</f>
        <v/>
      </c>
      <c r="AD27" t="str">
        <f>IF(COUNTBLANK(Table1[[#This Row],[Part 7]])=0,_xlfn.CONCAT(Table1[[#This Row],[Part 6]]," - "),IF(COUNTBLANK(Table1[[#This Row],[Part 6]])=0,Table1[[#This Row],[Part 6]],""))</f>
        <v/>
      </c>
      <c r="AE27" t="str">
        <f>IF(COUNTBLANK(Table1[[#This Row],[Part 7]])=0,Table1[[#This Row],[Part 7]],"")</f>
        <v/>
      </c>
    </row>
    <row r="28" spans="3:31" x14ac:dyDescent="0.35">
      <c r="H28" t="str">
        <f>_xlfn.CONCAT(Table1[[#This Row],[Eff pt 1]:[Eff pt 7]])</f>
        <v>Sensors - Temperature - RTDs</v>
      </c>
      <c r="I28" s="6" t="s">
        <v>210</v>
      </c>
      <c r="J28" t="s">
        <v>212</v>
      </c>
      <c r="K28" t="s">
        <v>213</v>
      </c>
      <c r="P28" s="6" t="b">
        <v>0</v>
      </c>
      <c r="Q28" t="b">
        <v>0</v>
      </c>
      <c r="R28" t="b">
        <v>0</v>
      </c>
      <c r="S28" s="5" t="b">
        <v>0</v>
      </c>
      <c r="T28" t="b">
        <v>0</v>
      </c>
      <c r="U28" t="b">
        <v>0</v>
      </c>
      <c r="V28" t="b">
        <v>0</v>
      </c>
      <c r="W28">
        <v>0</v>
      </c>
      <c r="X28" s="6">
        <f>(COUNTIF(Table1[[#This Row],[Spreadsheet]:[Functionality Verified?]],"=TRUE")/7) * 100</f>
        <v>0</v>
      </c>
      <c r="Y28" t="str">
        <f>IF(COUNTBLANK(Table1[[#This Row],[Part 2]])=0,_xlfn.CONCAT(Table1[[#This Row],[Part 1]]," - "),IF(COUNTBLANK(Table1[[#This Row],[Part 1]])=0,Table1[[#This Row],[Part 1]],""))</f>
        <v xml:space="preserve">Sensors - </v>
      </c>
      <c r="Z28" t="str">
        <f>IF(COUNTBLANK(Table1[[#This Row],[Part 3]])=0,_xlfn.CONCAT(Table1[[#This Row],[Part 2]]," - "),IF(COUNTBLANK(Table1[[#This Row],[Part 2]])=0,Table1[[#This Row],[Part 2]],""))</f>
        <v xml:space="preserve">Temperature - </v>
      </c>
      <c r="AA28" t="str">
        <f>IF(COUNTBLANK(Table1[[#This Row],[Part 4]])=0,_xlfn.CONCAT(Table1[[#This Row],[Part 3]]," - "),IF(COUNTBLANK(Table1[[#This Row],[Part 3]])=0,Table1[[#This Row],[Part 3]],""))</f>
        <v>RTDs</v>
      </c>
      <c r="AB28" t="str">
        <f>IF(COUNTBLANK(Table1[[#This Row],[Part 5]])=0,_xlfn.CONCAT(Table1[[#This Row],[Part 4]]," - "),IF(COUNTBLANK(Table1[[#This Row],[Part 4]])=0,Table1[[#This Row],[Part 4]],""))</f>
        <v/>
      </c>
      <c r="AC28" t="str">
        <f>IF(COUNTBLANK(Table1[[#This Row],[Part 6]])=0,_xlfn.CONCAT(Table1[[#This Row],[Part 5]]," - "),IF(COUNTBLANK(Table1[[#This Row],[Part 5]])=0,Table1[[#This Row],[Part 5]],""))</f>
        <v/>
      </c>
      <c r="AD28" t="str">
        <f>IF(COUNTBLANK(Table1[[#This Row],[Part 7]])=0,_xlfn.CONCAT(Table1[[#This Row],[Part 6]]," - "),IF(COUNTBLANK(Table1[[#This Row],[Part 6]])=0,Table1[[#This Row],[Part 6]],""))</f>
        <v/>
      </c>
      <c r="AE28" t="str">
        <f>IF(COUNTBLANK(Table1[[#This Row],[Part 7]])=0,Table1[[#This Row],[Part 7]],"")</f>
        <v/>
      </c>
    </row>
    <row r="29" spans="3:31" x14ac:dyDescent="0.35">
      <c r="H29" t="str">
        <f>_xlfn.CONCAT(Table1[[#This Row],[Eff pt 1]:[Eff pt 7]])</f>
        <v>Sensors - Humidity</v>
      </c>
      <c r="I29" s="6" t="s">
        <v>210</v>
      </c>
      <c r="J29" t="s">
        <v>214</v>
      </c>
      <c r="P29" s="6" t="b">
        <v>0</v>
      </c>
      <c r="Q29" t="b">
        <v>0</v>
      </c>
      <c r="R29" t="b">
        <v>0</v>
      </c>
      <c r="S29" s="5" t="b">
        <v>0</v>
      </c>
      <c r="T29" t="b">
        <v>0</v>
      </c>
      <c r="U29" t="b">
        <v>0</v>
      </c>
      <c r="V29" t="b">
        <v>0</v>
      </c>
      <c r="W29">
        <v>0</v>
      </c>
      <c r="X29" s="6">
        <f>(COUNTIF(Table1[[#This Row],[Spreadsheet]:[Functionality Verified?]],"=TRUE")/7) * 100</f>
        <v>0</v>
      </c>
      <c r="Y29" t="str">
        <f>IF(COUNTBLANK(Table1[[#This Row],[Part 2]])=0,_xlfn.CONCAT(Table1[[#This Row],[Part 1]]," - "),IF(COUNTBLANK(Table1[[#This Row],[Part 1]])=0,Table1[[#This Row],[Part 1]],""))</f>
        <v xml:space="preserve">Sensors - </v>
      </c>
      <c r="Z29" t="str">
        <f>IF(COUNTBLANK(Table1[[#This Row],[Part 3]])=0,_xlfn.CONCAT(Table1[[#This Row],[Part 2]]," - "),IF(COUNTBLANK(Table1[[#This Row],[Part 2]])=0,Table1[[#This Row],[Part 2]],""))</f>
        <v>Humidity</v>
      </c>
      <c r="AA29" t="str">
        <f>IF(COUNTBLANK(Table1[[#This Row],[Part 4]])=0,_xlfn.CONCAT(Table1[[#This Row],[Part 3]]," - "),IF(COUNTBLANK(Table1[[#This Row],[Part 3]])=0,Table1[[#This Row],[Part 3]],""))</f>
        <v/>
      </c>
      <c r="AB29" t="str">
        <f>IF(COUNTBLANK(Table1[[#This Row],[Part 5]])=0,_xlfn.CONCAT(Table1[[#This Row],[Part 4]]," - "),IF(COUNTBLANK(Table1[[#This Row],[Part 4]])=0,Table1[[#This Row],[Part 4]],""))</f>
        <v/>
      </c>
      <c r="AC29" t="str">
        <f>IF(COUNTBLANK(Table1[[#This Row],[Part 6]])=0,_xlfn.CONCAT(Table1[[#This Row],[Part 5]]," - "),IF(COUNTBLANK(Table1[[#This Row],[Part 5]])=0,Table1[[#This Row],[Part 5]],""))</f>
        <v/>
      </c>
      <c r="AD29" t="str">
        <f>IF(COUNTBLANK(Table1[[#This Row],[Part 7]])=0,_xlfn.CONCAT(Table1[[#This Row],[Part 6]]," - "),IF(COUNTBLANK(Table1[[#This Row],[Part 6]])=0,Table1[[#This Row],[Part 6]],""))</f>
        <v/>
      </c>
      <c r="AE29" t="str">
        <f>IF(COUNTBLANK(Table1[[#This Row],[Part 7]])=0,Table1[[#This Row],[Part 7]],"")</f>
        <v/>
      </c>
    </row>
    <row r="30" spans="3:31" x14ac:dyDescent="0.35">
      <c r="H30" t="str">
        <f>_xlfn.CONCAT(Table1[[#This Row],[Eff pt 1]:[Eff pt 7]])</f>
        <v>Sensors - Capacitance To Digital</v>
      </c>
      <c r="I30" s="6" t="s">
        <v>210</v>
      </c>
      <c r="J30" s="30" t="s">
        <v>211</v>
      </c>
      <c r="P30" s="6" t="b">
        <v>0</v>
      </c>
      <c r="Q30" t="b">
        <v>0</v>
      </c>
      <c r="R30" t="b">
        <v>0</v>
      </c>
      <c r="S30" s="5" t="b">
        <v>0</v>
      </c>
      <c r="T30" t="b">
        <v>0</v>
      </c>
      <c r="U30" t="b">
        <v>0</v>
      </c>
      <c r="V30" t="b">
        <v>0</v>
      </c>
      <c r="W30">
        <v>0</v>
      </c>
      <c r="X30" s="6">
        <f>(COUNTIF(Table1[[#This Row],[Spreadsheet]:[Functionality Verified?]],"=TRUE")/7) * 100</f>
        <v>0</v>
      </c>
      <c r="Y30" t="str">
        <f>IF(COUNTBLANK(Table1[[#This Row],[Part 2]])=0,_xlfn.CONCAT(Table1[[#This Row],[Part 1]]," - "),IF(COUNTBLANK(Table1[[#This Row],[Part 1]])=0,Table1[[#This Row],[Part 1]],""))</f>
        <v xml:space="preserve">Sensors - </v>
      </c>
      <c r="Z30" t="str">
        <f>IF(COUNTBLANK(Table1[[#This Row],[Part 3]])=0,_xlfn.CONCAT(Table1[[#This Row],[Part 2]]," - "),IF(COUNTBLANK(Table1[[#This Row],[Part 2]])=0,Table1[[#This Row],[Part 2]],""))</f>
        <v>Capacitance To Digital</v>
      </c>
      <c r="AA30" t="str">
        <f>IF(COUNTBLANK(Table1[[#This Row],[Part 4]])=0,_xlfn.CONCAT(Table1[[#This Row],[Part 3]]," - "),IF(COUNTBLANK(Table1[[#This Row],[Part 3]])=0,Table1[[#This Row],[Part 3]],""))</f>
        <v/>
      </c>
      <c r="AB30" t="str">
        <f>IF(COUNTBLANK(Table1[[#This Row],[Part 5]])=0,_xlfn.CONCAT(Table1[[#This Row],[Part 4]]," - "),IF(COUNTBLANK(Table1[[#This Row],[Part 4]])=0,Table1[[#This Row],[Part 4]],""))</f>
        <v/>
      </c>
      <c r="AC30" t="str">
        <f>IF(COUNTBLANK(Table1[[#This Row],[Part 6]])=0,_xlfn.CONCAT(Table1[[#This Row],[Part 5]]," - "),IF(COUNTBLANK(Table1[[#This Row],[Part 5]])=0,Table1[[#This Row],[Part 5]],""))</f>
        <v/>
      </c>
      <c r="AD30" t="str">
        <f>IF(COUNTBLANK(Table1[[#This Row],[Part 7]])=0,_xlfn.CONCAT(Table1[[#This Row],[Part 6]]," - "),IF(COUNTBLANK(Table1[[#This Row],[Part 6]])=0,Table1[[#This Row],[Part 6]],""))</f>
        <v/>
      </c>
      <c r="AE30" t="str">
        <f>IF(COUNTBLANK(Table1[[#This Row],[Part 7]])=0,Table1[[#This Row],[Part 7]],"")</f>
        <v/>
      </c>
    </row>
    <row r="31" spans="3:31" x14ac:dyDescent="0.35">
      <c r="H31" t="str">
        <f>_xlfn.CONCAT(Table1[[#This Row],[Eff pt 1]:[Eff pt 7]])</f>
        <v>Resistors - Single - Through Hole</v>
      </c>
      <c r="I31" s="6" t="s">
        <v>42</v>
      </c>
      <c r="J31" t="s">
        <v>43</v>
      </c>
      <c r="K31" t="s">
        <v>52</v>
      </c>
      <c r="P31" s="6" t="b">
        <v>0</v>
      </c>
      <c r="Q31" t="b">
        <v>0</v>
      </c>
      <c r="R31" t="b">
        <v>0</v>
      </c>
      <c r="S31" s="5" t="b">
        <v>0</v>
      </c>
      <c r="T31" s="30" t="b">
        <v>0</v>
      </c>
      <c r="U31" s="30" t="b">
        <v>0</v>
      </c>
      <c r="V31" t="b">
        <v>0</v>
      </c>
      <c r="W31">
        <v>0</v>
      </c>
      <c r="X31" s="6">
        <f>(COUNTIF(Table1[[#This Row],[Spreadsheet]:[Functionality Verified?]],"=TRUE")/7) * 100</f>
        <v>0</v>
      </c>
      <c r="Y31" t="str">
        <f>IF(COUNTBLANK(Table1[[#This Row],[Part 2]])=0,_xlfn.CONCAT(Table1[[#This Row],[Part 1]]," - "),IF(COUNTBLANK(Table1[[#This Row],[Part 1]])=0,Table1[[#This Row],[Part 1]],""))</f>
        <v xml:space="preserve">Resistors - </v>
      </c>
      <c r="Z31" t="str">
        <f>IF(COUNTBLANK(Table1[[#This Row],[Part 3]])=0,_xlfn.CONCAT(Table1[[#This Row],[Part 2]]," - "),IF(COUNTBLANK(Table1[[#This Row],[Part 2]])=0,Table1[[#This Row],[Part 2]],""))</f>
        <v xml:space="preserve">Single - </v>
      </c>
      <c r="AA31" t="str">
        <f>IF(COUNTBLANK(Table1[[#This Row],[Part 4]])=0,_xlfn.CONCAT(Table1[[#This Row],[Part 3]]," - "),IF(COUNTBLANK(Table1[[#This Row],[Part 3]])=0,Table1[[#This Row],[Part 3]],""))</f>
        <v>Through Hole</v>
      </c>
      <c r="AB31" t="str">
        <f>IF(COUNTBLANK(Table1[[#This Row],[Part 5]])=0,_xlfn.CONCAT(Table1[[#This Row],[Part 4]]," - "),IF(COUNTBLANK(Table1[[#This Row],[Part 4]])=0,Table1[[#This Row],[Part 4]],""))</f>
        <v/>
      </c>
      <c r="AC31" t="str">
        <f>IF(COUNTBLANK(Table1[[#This Row],[Part 6]])=0,_xlfn.CONCAT(Table1[[#This Row],[Part 5]]," - "),IF(COUNTBLANK(Table1[[#This Row],[Part 5]])=0,Table1[[#This Row],[Part 5]],""))</f>
        <v/>
      </c>
      <c r="AD31" t="str">
        <f>IF(COUNTBLANK(Table1[[#This Row],[Part 7]])=0,_xlfn.CONCAT(Table1[[#This Row],[Part 6]]," - "),IF(COUNTBLANK(Table1[[#This Row],[Part 6]])=0,Table1[[#This Row],[Part 6]],""))</f>
        <v/>
      </c>
      <c r="AE31" t="str">
        <f>IF(COUNTBLANK(Table1[[#This Row],[Part 7]])=0,Table1[[#This Row],[Part 7]],"")</f>
        <v/>
      </c>
    </row>
    <row r="32" spans="3:31" x14ac:dyDescent="0.35">
      <c r="H32" t="str">
        <f>_xlfn.CONCAT(Table1[[#This Row],[Eff pt 1]:[Eff pt 7]])</f>
        <v>Resistors - Network</v>
      </c>
      <c r="I32" s="6" t="s">
        <v>42</v>
      </c>
      <c r="J32" t="s">
        <v>51</v>
      </c>
      <c r="P32" s="6" t="b">
        <v>0</v>
      </c>
      <c r="Q32" t="b">
        <v>0</v>
      </c>
      <c r="R32" t="b">
        <v>0</v>
      </c>
      <c r="S32" s="5" t="b">
        <v>0</v>
      </c>
      <c r="T32" t="b">
        <v>0</v>
      </c>
      <c r="U32" t="b">
        <v>0</v>
      </c>
      <c r="V32" t="b">
        <v>0</v>
      </c>
      <c r="W32">
        <v>0</v>
      </c>
      <c r="X32" s="6">
        <f>(COUNTIF(Table1[[#This Row],[Spreadsheet]:[Functionality Verified?]],"=TRUE")/7) * 100</f>
        <v>0</v>
      </c>
      <c r="Y32" t="str">
        <f>IF(COUNTBLANK(Table1[[#This Row],[Part 2]])=0,_xlfn.CONCAT(Table1[[#This Row],[Part 1]]," - "),IF(COUNTBLANK(Table1[[#This Row],[Part 1]])=0,Table1[[#This Row],[Part 1]],""))</f>
        <v xml:space="preserve">Resistors - </v>
      </c>
      <c r="Z32" t="str">
        <f>IF(COUNTBLANK(Table1[[#This Row],[Part 3]])=0,_xlfn.CONCAT(Table1[[#This Row],[Part 2]]," - "),IF(COUNTBLANK(Table1[[#This Row],[Part 2]])=0,Table1[[#This Row],[Part 2]],""))</f>
        <v>Network</v>
      </c>
      <c r="AA32" t="str">
        <f>IF(COUNTBLANK(Table1[[#This Row],[Part 4]])=0,_xlfn.CONCAT(Table1[[#This Row],[Part 3]]," - "),IF(COUNTBLANK(Table1[[#This Row],[Part 3]])=0,Table1[[#This Row],[Part 3]],""))</f>
        <v/>
      </c>
      <c r="AB32" t="str">
        <f>IF(COUNTBLANK(Table1[[#This Row],[Part 5]])=0,_xlfn.CONCAT(Table1[[#This Row],[Part 4]]," - "),IF(COUNTBLANK(Table1[[#This Row],[Part 4]])=0,Table1[[#This Row],[Part 4]],""))</f>
        <v/>
      </c>
      <c r="AC32" t="str">
        <f>IF(COUNTBLANK(Table1[[#This Row],[Part 6]])=0,_xlfn.CONCAT(Table1[[#This Row],[Part 5]]," - "),IF(COUNTBLANK(Table1[[#This Row],[Part 5]])=0,Table1[[#This Row],[Part 5]],""))</f>
        <v/>
      </c>
      <c r="AD32" t="str">
        <f>IF(COUNTBLANK(Table1[[#This Row],[Part 7]])=0,_xlfn.CONCAT(Table1[[#This Row],[Part 6]]," - "),IF(COUNTBLANK(Table1[[#This Row],[Part 6]])=0,Table1[[#This Row],[Part 6]],""))</f>
        <v/>
      </c>
      <c r="AE32" t="str">
        <f>IF(COUNTBLANK(Table1[[#This Row],[Part 7]])=0,Table1[[#This Row],[Part 7]],"")</f>
        <v/>
      </c>
    </row>
    <row r="33" spans="8:31" x14ac:dyDescent="0.35">
      <c r="H33" t="str">
        <f>_xlfn.CONCAT(Table1[[#This Row],[Eff pt 1]:[Eff pt 7]])</f>
        <v>PSUs - PCB Mount - DC-DC - Isolated</v>
      </c>
      <c r="I33" s="6" t="s">
        <v>81</v>
      </c>
      <c r="J33" t="s">
        <v>69</v>
      </c>
      <c r="K33" t="s">
        <v>83</v>
      </c>
      <c r="L33" t="s">
        <v>84</v>
      </c>
      <c r="P33" s="6" t="b">
        <v>1</v>
      </c>
      <c r="Q33" t="b">
        <v>1</v>
      </c>
      <c r="R33" t="b">
        <v>1</v>
      </c>
      <c r="S33" s="5" t="b">
        <v>1</v>
      </c>
      <c r="T33" t="b">
        <v>1</v>
      </c>
      <c r="U33" t="b">
        <v>1</v>
      </c>
      <c r="V33" t="s">
        <v>184</v>
      </c>
      <c r="W33">
        <v>0</v>
      </c>
      <c r="X33" s="6">
        <f>(COUNTIF(Table1[[#This Row],[Spreadsheet]:[Functionality Verified?]],"=TRUE")/7) * 100</f>
        <v>85.714285714285708</v>
      </c>
      <c r="Y33" t="str">
        <f>IF(COUNTBLANK(Table1[[#This Row],[Part 2]])=0,_xlfn.CONCAT(Table1[[#This Row],[Part 1]]," - "),IF(COUNTBLANK(Table1[[#This Row],[Part 1]])=0,Table1[[#This Row],[Part 1]],""))</f>
        <v xml:space="preserve">PSUs - </v>
      </c>
      <c r="Z33" t="str">
        <f>IF(COUNTBLANK(Table1[[#This Row],[Part 3]])=0,_xlfn.CONCAT(Table1[[#This Row],[Part 2]]," - "),IF(COUNTBLANK(Table1[[#This Row],[Part 2]])=0,Table1[[#This Row],[Part 2]],""))</f>
        <v xml:space="preserve">PCB Mount - </v>
      </c>
      <c r="AA33" t="str">
        <f>IF(COUNTBLANK(Table1[[#This Row],[Part 4]])=0,_xlfn.CONCAT(Table1[[#This Row],[Part 3]]," - "),IF(COUNTBLANK(Table1[[#This Row],[Part 3]])=0,Table1[[#This Row],[Part 3]],""))</f>
        <v xml:space="preserve">DC-DC - </v>
      </c>
      <c r="AB33" t="str">
        <f>IF(COUNTBLANK(Table1[[#This Row],[Part 5]])=0,_xlfn.CONCAT(Table1[[#This Row],[Part 4]]," - "),IF(COUNTBLANK(Table1[[#This Row],[Part 4]])=0,Table1[[#This Row],[Part 4]],""))</f>
        <v>Isolated</v>
      </c>
      <c r="AC33" t="str">
        <f>IF(COUNTBLANK(Table1[[#This Row],[Part 6]])=0,_xlfn.CONCAT(Table1[[#This Row],[Part 5]]," - "),IF(COUNTBLANK(Table1[[#This Row],[Part 5]])=0,Table1[[#This Row],[Part 5]],""))</f>
        <v/>
      </c>
      <c r="AD33" t="str">
        <f>IF(COUNTBLANK(Table1[[#This Row],[Part 7]])=0,_xlfn.CONCAT(Table1[[#This Row],[Part 6]]," - "),IF(COUNTBLANK(Table1[[#This Row],[Part 6]])=0,Table1[[#This Row],[Part 6]],""))</f>
        <v/>
      </c>
      <c r="AE33" t="str">
        <f>IF(COUNTBLANK(Table1[[#This Row],[Part 7]])=0,Table1[[#This Row],[Part 7]],"")</f>
        <v/>
      </c>
    </row>
    <row r="34" spans="8:31" x14ac:dyDescent="0.35">
      <c r="H34" t="str">
        <f>_xlfn.CONCAT(Table1[[#This Row],[Eff pt 1]:[Eff pt 7]])</f>
        <v>PSUs - PCB Mount - AC-DC</v>
      </c>
      <c r="I34" s="6" t="s">
        <v>81</v>
      </c>
      <c r="J34" t="s">
        <v>69</v>
      </c>
      <c r="K34" t="s">
        <v>82</v>
      </c>
      <c r="P34" s="6" t="b">
        <v>0</v>
      </c>
      <c r="Q34" t="b">
        <v>0</v>
      </c>
      <c r="R34" t="b">
        <v>0</v>
      </c>
      <c r="S34" s="5" t="b">
        <v>0</v>
      </c>
      <c r="T34" t="b">
        <v>0</v>
      </c>
      <c r="U34" t="b">
        <v>0</v>
      </c>
      <c r="V34" t="b">
        <v>0</v>
      </c>
      <c r="W34">
        <v>0</v>
      </c>
      <c r="X34" s="6">
        <v>5</v>
      </c>
      <c r="Y34" t="str">
        <f>IF(COUNTBLANK(Table1[[#This Row],[Part 2]])=0,_xlfn.CONCAT(Table1[[#This Row],[Part 1]]," - "),IF(COUNTBLANK(Table1[[#This Row],[Part 1]])=0,Table1[[#This Row],[Part 1]],""))</f>
        <v xml:space="preserve">PSUs - </v>
      </c>
      <c r="Z34" t="str">
        <f>IF(COUNTBLANK(Table1[[#This Row],[Part 3]])=0,_xlfn.CONCAT(Table1[[#This Row],[Part 2]]," - "),IF(COUNTBLANK(Table1[[#This Row],[Part 2]])=0,Table1[[#This Row],[Part 2]],""))</f>
        <v xml:space="preserve">PCB Mount - </v>
      </c>
      <c r="AA34" t="str">
        <f>IF(COUNTBLANK(Table1[[#This Row],[Part 4]])=0,_xlfn.CONCAT(Table1[[#This Row],[Part 3]]," - "),IF(COUNTBLANK(Table1[[#This Row],[Part 3]])=0,Table1[[#This Row],[Part 3]],""))</f>
        <v>AC-DC</v>
      </c>
      <c r="AB34" t="str">
        <f>IF(COUNTBLANK(Table1[[#This Row],[Part 5]])=0,_xlfn.CONCAT(Table1[[#This Row],[Part 4]]," - "),IF(COUNTBLANK(Table1[[#This Row],[Part 4]])=0,Table1[[#This Row],[Part 4]],""))</f>
        <v/>
      </c>
      <c r="AC34" t="str">
        <f>IF(COUNTBLANK(Table1[[#This Row],[Part 6]])=0,_xlfn.CONCAT(Table1[[#This Row],[Part 5]]," - "),IF(COUNTBLANK(Table1[[#This Row],[Part 5]])=0,Table1[[#This Row],[Part 5]],""))</f>
        <v/>
      </c>
      <c r="AD34" t="str">
        <f>IF(COUNTBLANK(Table1[[#This Row],[Part 7]])=0,_xlfn.CONCAT(Table1[[#This Row],[Part 6]]," - "),IF(COUNTBLANK(Table1[[#This Row],[Part 6]])=0,Table1[[#This Row],[Part 6]],""))</f>
        <v/>
      </c>
      <c r="AE34" t="str">
        <f>IF(COUNTBLANK(Table1[[#This Row],[Part 7]])=0,Table1[[#This Row],[Part 7]],"")</f>
        <v/>
      </c>
    </row>
    <row r="35" spans="8:31" x14ac:dyDescent="0.35">
      <c r="H35" t="str">
        <f>_xlfn.CONCAT(Table1[[#This Row],[Eff pt 1]:[Eff pt 7]])</f>
        <v>PSUs - Chasis Mount - DC-DC</v>
      </c>
      <c r="I35" s="6" t="s">
        <v>81</v>
      </c>
      <c r="J35" t="s">
        <v>86</v>
      </c>
      <c r="K35" t="s">
        <v>83</v>
      </c>
      <c r="P35" s="6" t="b">
        <v>0</v>
      </c>
      <c r="Q35" t="b">
        <v>0</v>
      </c>
      <c r="R35" t="b">
        <v>0</v>
      </c>
      <c r="S35" s="5" t="b">
        <v>0</v>
      </c>
      <c r="T35" t="b">
        <v>0</v>
      </c>
      <c r="U35" t="b">
        <v>0</v>
      </c>
      <c r="V35" t="b">
        <v>0</v>
      </c>
      <c r="W35">
        <v>0</v>
      </c>
      <c r="X35" s="6">
        <f>(COUNTIF(Table1[[#This Row],[Spreadsheet]:[Functionality Verified?]],"=TRUE")/7) * 100</f>
        <v>0</v>
      </c>
      <c r="Y35" t="str">
        <f>IF(COUNTBLANK(Table1[[#This Row],[Part 2]])=0,_xlfn.CONCAT(Table1[[#This Row],[Part 1]]," - "),IF(COUNTBLANK(Table1[[#This Row],[Part 1]])=0,Table1[[#This Row],[Part 1]],""))</f>
        <v xml:space="preserve">PSUs - </v>
      </c>
      <c r="Z35" t="str">
        <f>IF(COUNTBLANK(Table1[[#This Row],[Part 3]])=0,_xlfn.CONCAT(Table1[[#This Row],[Part 2]]," - "),IF(COUNTBLANK(Table1[[#This Row],[Part 2]])=0,Table1[[#This Row],[Part 2]],""))</f>
        <v xml:space="preserve">Chasis Mount - </v>
      </c>
      <c r="AA35" t="str">
        <f>IF(COUNTBLANK(Table1[[#This Row],[Part 4]])=0,_xlfn.CONCAT(Table1[[#This Row],[Part 3]]," - "),IF(COUNTBLANK(Table1[[#This Row],[Part 3]])=0,Table1[[#This Row],[Part 3]],""))</f>
        <v>DC-DC</v>
      </c>
      <c r="AB35" t="str">
        <f>IF(COUNTBLANK(Table1[[#This Row],[Part 5]])=0,_xlfn.CONCAT(Table1[[#This Row],[Part 4]]," - "),IF(COUNTBLANK(Table1[[#This Row],[Part 4]])=0,Table1[[#This Row],[Part 4]],""))</f>
        <v/>
      </c>
      <c r="AC35" t="str">
        <f>IF(COUNTBLANK(Table1[[#This Row],[Part 6]])=0,_xlfn.CONCAT(Table1[[#This Row],[Part 5]]," - "),IF(COUNTBLANK(Table1[[#This Row],[Part 5]])=0,Table1[[#This Row],[Part 5]],""))</f>
        <v/>
      </c>
      <c r="AD35" t="str">
        <f>IF(COUNTBLANK(Table1[[#This Row],[Part 7]])=0,_xlfn.CONCAT(Table1[[#This Row],[Part 6]]," - "),IF(COUNTBLANK(Table1[[#This Row],[Part 6]])=0,Table1[[#This Row],[Part 6]],""))</f>
        <v/>
      </c>
      <c r="AE35" t="str">
        <f>IF(COUNTBLANK(Table1[[#This Row],[Part 7]])=0,Table1[[#This Row],[Part 7]],"")</f>
        <v/>
      </c>
    </row>
    <row r="36" spans="8:31" x14ac:dyDescent="0.35">
      <c r="H36" t="str">
        <f>_xlfn.CONCAT(Table1[[#This Row],[Eff pt 1]:[Eff pt 7]])</f>
        <v>PSUs - Chasis Mount - AC-DC</v>
      </c>
      <c r="I36" s="6" t="s">
        <v>81</v>
      </c>
      <c r="J36" t="s">
        <v>86</v>
      </c>
      <c r="K36" t="s">
        <v>82</v>
      </c>
      <c r="P36" s="6" t="b">
        <v>0</v>
      </c>
      <c r="Q36" t="b">
        <v>0</v>
      </c>
      <c r="R36" t="b">
        <v>0</v>
      </c>
      <c r="S36" s="5" t="b">
        <v>0</v>
      </c>
      <c r="T36" t="b">
        <v>0</v>
      </c>
      <c r="U36" t="b">
        <v>0</v>
      </c>
      <c r="V36" t="b">
        <v>0</v>
      </c>
      <c r="W36">
        <v>0</v>
      </c>
      <c r="X36" s="6">
        <f>(COUNTIF(Table1[[#This Row],[Spreadsheet]:[Functionality Verified?]],"=TRUE")/7) * 100</f>
        <v>0</v>
      </c>
      <c r="Y36" t="str">
        <f>IF(COUNTBLANK(Table1[[#This Row],[Part 2]])=0,_xlfn.CONCAT(Table1[[#This Row],[Part 1]]," - "),IF(COUNTBLANK(Table1[[#This Row],[Part 1]])=0,Table1[[#This Row],[Part 1]],""))</f>
        <v xml:space="preserve">PSUs - </v>
      </c>
      <c r="Z36" t="str">
        <f>IF(COUNTBLANK(Table1[[#This Row],[Part 3]])=0,_xlfn.CONCAT(Table1[[#This Row],[Part 2]]," - "),IF(COUNTBLANK(Table1[[#This Row],[Part 2]])=0,Table1[[#This Row],[Part 2]],""))</f>
        <v xml:space="preserve">Chasis Mount - </v>
      </c>
      <c r="AA36" t="str">
        <f>IF(COUNTBLANK(Table1[[#This Row],[Part 4]])=0,_xlfn.CONCAT(Table1[[#This Row],[Part 3]]," - "),IF(COUNTBLANK(Table1[[#This Row],[Part 3]])=0,Table1[[#This Row],[Part 3]],""))</f>
        <v>AC-DC</v>
      </c>
      <c r="AB36" t="str">
        <f>IF(COUNTBLANK(Table1[[#This Row],[Part 5]])=0,_xlfn.CONCAT(Table1[[#This Row],[Part 4]]," - "),IF(COUNTBLANK(Table1[[#This Row],[Part 4]])=0,Table1[[#This Row],[Part 4]],""))</f>
        <v/>
      </c>
      <c r="AC36" t="str">
        <f>IF(COUNTBLANK(Table1[[#This Row],[Part 6]])=0,_xlfn.CONCAT(Table1[[#This Row],[Part 5]]," - "),IF(COUNTBLANK(Table1[[#This Row],[Part 5]])=0,Table1[[#This Row],[Part 5]],""))</f>
        <v/>
      </c>
      <c r="AD36" t="str">
        <f>IF(COUNTBLANK(Table1[[#This Row],[Part 7]])=0,_xlfn.CONCAT(Table1[[#This Row],[Part 6]]," - "),IF(COUNTBLANK(Table1[[#This Row],[Part 6]])=0,Table1[[#This Row],[Part 6]],""))</f>
        <v/>
      </c>
      <c r="AE36" t="str">
        <f>IF(COUNTBLANK(Table1[[#This Row],[Part 7]])=0,Table1[[#This Row],[Part 7]],"")</f>
        <v/>
      </c>
    </row>
    <row r="37" spans="8:31" x14ac:dyDescent="0.35">
      <c r="H37" t="str">
        <f>_xlfn.CONCAT(Table1[[#This Row],[Eff pt 1]:[Eff pt 7]])</f>
        <v>Protection - PolyFuses</v>
      </c>
      <c r="I37" s="6" t="s">
        <v>38</v>
      </c>
      <c r="J37" t="s">
        <v>180</v>
      </c>
      <c r="P37" s="6" t="b">
        <v>0</v>
      </c>
      <c r="Q37" t="b">
        <v>0</v>
      </c>
      <c r="R37" t="b">
        <v>0</v>
      </c>
      <c r="S37" s="5" t="b">
        <v>1</v>
      </c>
      <c r="T37" t="b">
        <v>1</v>
      </c>
      <c r="U37" t="b">
        <v>1</v>
      </c>
      <c r="V37" t="b">
        <v>0</v>
      </c>
      <c r="W37">
        <v>0</v>
      </c>
      <c r="X37" s="6">
        <f>(COUNTIF(Table1[[#This Row],[Spreadsheet]:[Functionality Verified?]],"=TRUE")/7) * 100</f>
        <v>42.857142857142854</v>
      </c>
      <c r="Y37" t="str">
        <f>IF(COUNTBLANK(Table1[[#This Row],[Part 2]])=0,_xlfn.CONCAT(Table1[[#This Row],[Part 1]]," - "),IF(COUNTBLANK(Table1[[#This Row],[Part 1]])=0,Table1[[#This Row],[Part 1]],""))</f>
        <v xml:space="preserve">Protection - </v>
      </c>
      <c r="Z37" t="str">
        <f>IF(COUNTBLANK(Table1[[#This Row],[Part 3]])=0,_xlfn.CONCAT(Table1[[#This Row],[Part 2]]," - "),IF(COUNTBLANK(Table1[[#This Row],[Part 2]])=0,Table1[[#This Row],[Part 2]],""))</f>
        <v>PolyFuses</v>
      </c>
      <c r="AA37" t="str">
        <f>IF(COUNTBLANK(Table1[[#This Row],[Part 4]])=0,_xlfn.CONCAT(Table1[[#This Row],[Part 3]]," - "),IF(COUNTBLANK(Table1[[#This Row],[Part 3]])=0,Table1[[#This Row],[Part 3]],""))</f>
        <v/>
      </c>
      <c r="AB37" t="str">
        <f>IF(COUNTBLANK(Table1[[#This Row],[Part 5]])=0,_xlfn.CONCAT(Table1[[#This Row],[Part 4]]," - "),IF(COUNTBLANK(Table1[[#This Row],[Part 4]])=0,Table1[[#This Row],[Part 4]],""))</f>
        <v/>
      </c>
      <c r="AC37" t="str">
        <f>IF(COUNTBLANK(Table1[[#This Row],[Part 6]])=0,_xlfn.CONCAT(Table1[[#This Row],[Part 5]]," - "),IF(COUNTBLANK(Table1[[#This Row],[Part 5]])=0,Table1[[#This Row],[Part 5]],""))</f>
        <v/>
      </c>
      <c r="AD37" t="str">
        <f>IF(COUNTBLANK(Table1[[#This Row],[Part 7]])=0,_xlfn.CONCAT(Table1[[#This Row],[Part 6]]," - "),IF(COUNTBLANK(Table1[[#This Row],[Part 6]])=0,Table1[[#This Row],[Part 6]],""))</f>
        <v/>
      </c>
      <c r="AE37" t="str">
        <f>IF(COUNTBLANK(Table1[[#This Row],[Part 7]])=0,Table1[[#This Row],[Part 7]],"")</f>
        <v/>
      </c>
    </row>
    <row r="38" spans="8:31" x14ac:dyDescent="0.35">
      <c r="H38" t="str">
        <f>_xlfn.CONCAT(Table1[[#This Row],[Eff pt 1]:[Eff pt 7]])</f>
        <v>Mechanical  - Standoffs  - SMD</v>
      </c>
      <c r="I38" s="6" t="s">
        <v>133</v>
      </c>
      <c r="J38" t="s">
        <v>134</v>
      </c>
      <c r="K38" t="s">
        <v>44</v>
      </c>
      <c r="P38" s="6" t="b">
        <v>1</v>
      </c>
      <c r="Q38" t="b">
        <v>1</v>
      </c>
      <c r="R38" t="b">
        <v>1</v>
      </c>
      <c r="S38" s="5" t="b">
        <v>1</v>
      </c>
      <c r="T38" t="b">
        <v>1</v>
      </c>
      <c r="U38" t="b">
        <v>1</v>
      </c>
      <c r="V38" t="s">
        <v>184</v>
      </c>
      <c r="W38">
        <v>0</v>
      </c>
      <c r="X38" s="6">
        <f>(COUNTIF(Table1[[#This Row],[Spreadsheet]:[Functionality Verified?]],"=TRUE")/7) * 100</f>
        <v>85.714285714285708</v>
      </c>
      <c r="Y38" t="str">
        <f>IF(COUNTBLANK(Table1[[#This Row],[Part 2]])=0,_xlfn.CONCAT(Table1[[#This Row],[Part 1]]," - "),IF(COUNTBLANK(Table1[[#This Row],[Part 1]])=0,Table1[[#This Row],[Part 1]],""))</f>
        <v xml:space="preserve">Mechanical  - </v>
      </c>
      <c r="Z38" t="str">
        <f>IF(COUNTBLANK(Table1[[#This Row],[Part 3]])=0,_xlfn.CONCAT(Table1[[#This Row],[Part 2]]," - "),IF(COUNTBLANK(Table1[[#This Row],[Part 2]])=0,Table1[[#This Row],[Part 2]],""))</f>
        <v xml:space="preserve">Standoffs  - </v>
      </c>
      <c r="AA38" t="str">
        <f>IF(COUNTBLANK(Table1[[#This Row],[Part 4]])=0,_xlfn.CONCAT(Table1[[#This Row],[Part 3]]," - "),IF(COUNTBLANK(Table1[[#This Row],[Part 3]])=0,Table1[[#This Row],[Part 3]],""))</f>
        <v>SMD</v>
      </c>
      <c r="AB38" t="str">
        <f>IF(COUNTBLANK(Table1[[#This Row],[Part 5]])=0,_xlfn.CONCAT(Table1[[#This Row],[Part 4]]," - "),IF(COUNTBLANK(Table1[[#This Row],[Part 4]])=0,Table1[[#This Row],[Part 4]],""))</f>
        <v/>
      </c>
      <c r="AC38" t="str">
        <f>IF(COUNTBLANK(Table1[[#This Row],[Part 6]])=0,_xlfn.CONCAT(Table1[[#This Row],[Part 5]]," - "),IF(COUNTBLANK(Table1[[#This Row],[Part 5]])=0,Table1[[#This Row],[Part 5]],""))</f>
        <v/>
      </c>
      <c r="AD38" t="str">
        <f>IF(COUNTBLANK(Table1[[#This Row],[Part 7]])=0,_xlfn.CONCAT(Table1[[#This Row],[Part 6]]," - "),IF(COUNTBLANK(Table1[[#This Row],[Part 6]])=0,Table1[[#This Row],[Part 6]],""))</f>
        <v/>
      </c>
      <c r="AE38" t="str">
        <f>IF(COUNTBLANK(Table1[[#This Row],[Part 7]])=0,Table1[[#This Row],[Part 7]],"")</f>
        <v/>
      </c>
    </row>
    <row r="39" spans="8:31" x14ac:dyDescent="0.35">
      <c r="H39" t="str">
        <f>_xlfn.CONCAT(Table1[[#This Row],[Eff pt 1]:[Eff pt 7]])</f>
        <v>Mechanical  - Standoffs  - M_F</v>
      </c>
      <c r="I39" s="6" t="s">
        <v>133</v>
      </c>
      <c r="J39" t="s">
        <v>134</v>
      </c>
      <c r="K39" t="s">
        <v>141</v>
      </c>
      <c r="P39" s="6" t="b">
        <v>0</v>
      </c>
      <c r="Q39" t="b">
        <v>0</v>
      </c>
      <c r="R39" t="b">
        <v>0</v>
      </c>
      <c r="S39" s="5" t="b">
        <v>0</v>
      </c>
      <c r="T39" t="b">
        <v>0</v>
      </c>
      <c r="U39" t="b">
        <v>0</v>
      </c>
      <c r="V39" t="b">
        <v>0</v>
      </c>
      <c r="W39">
        <v>0</v>
      </c>
      <c r="X39" s="6">
        <f>(COUNTIF(Table1[[#This Row],[Spreadsheet]:[Functionality Verified?]],"=TRUE")/7) * 100</f>
        <v>0</v>
      </c>
      <c r="Y39" t="str">
        <f>IF(COUNTBLANK(Table1[[#This Row],[Part 2]])=0,_xlfn.CONCAT(Table1[[#This Row],[Part 1]]," - "),IF(COUNTBLANK(Table1[[#This Row],[Part 1]])=0,Table1[[#This Row],[Part 1]],""))</f>
        <v xml:space="preserve">Mechanical  - </v>
      </c>
      <c r="Z39" t="str">
        <f>IF(COUNTBLANK(Table1[[#This Row],[Part 3]])=0,_xlfn.CONCAT(Table1[[#This Row],[Part 2]]," - "),IF(COUNTBLANK(Table1[[#This Row],[Part 2]])=0,Table1[[#This Row],[Part 2]],""))</f>
        <v xml:space="preserve">Standoffs  - </v>
      </c>
      <c r="AA39" t="str">
        <f>IF(COUNTBLANK(Table1[[#This Row],[Part 4]])=0,_xlfn.CONCAT(Table1[[#This Row],[Part 3]]," - "),IF(COUNTBLANK(Table1[[#This Row],[Part 3]])=0,Table1[[#This Row],[Part 3]],""))</f>
        <v>M_F</v>
      </c>
      <c r="AB39" t="str">
        <f>IF(COUNTBLANK(Table1[[#This Row],[Part 5]])=0,_xlfn.CONCAT(Table1[[#This Row],[Part 4]]," - "),IF(COUNTBLANK(Table1[[#This Row],[Part 4]])=0,Table1[[#This Row],[Part 4]],""))</f>
        <v/>
      </c>
      <c r="AC39" t="str">
        <f>IF(COUNTBLANK(Table1[[#This Row],[Part 6]])=0,_xlfn.CONCAT(Table1[[#This Row],[Part 5]]," - "),IF(COUNTBLANK(Table1[[#This Row],[Part 5]])=0,Table1[[#This Row],[Part 5]],""))</f>
        <v/>
      </c>
      <c r="AD39" t="str">
        <f>IF(COUNTBLANK(Table1[[#This Row],[Part 7]])=0,_xlfn.CONCAT(Table1[[#This Row],[Part 6]]," - "),IF(COUNTBLANK(Table1[[#This Row],[Part 6]])=0,Table1[[#This Row],[Part 6]],""))</f>
        <v/>
      </c>
      <c r="AE39" t="str">
        <f>IF(COUNTBLANK(Table1[[#This Row],[Part 7]])=0,Table1[[#This Row],[Part 7]],"")</f>
        <v/>
      </c>
    </row>
    <row r="40" spans="8:31" x14ac:dyDescent="0.35">
      <c r="H40" t="str">
        <f>_xlfn.CONCAT(Table1[[#This Row],[Eff pt 1]:[Eff pt 7]])</f>
        <v>Mechanical  - Standoffs  - F_F</v>
      </c>
      <c r="I40" s="6" t="s">
        <v>133</v>
      </c>
      <c r="J40" t="s">
        <v>134</v>
      </c>
      <c r="K40" t="s">
        <v>142</v>
      </c>
      <c r="P40" s="6" t="b">
        <v>0</v>
      </c>
      <c r="Q40" t="b">
        <v>0</v>
      </c>
      <c r="R40" t="b">
        <v>0</v>
      </c>
      <c r="S40" s="5" t="b">
        <v>0</v>
      </c>
      <c r="T40" t="b">
        <v>0</v>
      </c>
      <c r="U40" t="b">
        <v>0</v>
      </c>
      <c r="V40" t="b">
        <v>0</v>
      </c>
      <c r="W40">
        <v>0</v>
      </c>
      <c r="X40" s="6">
        <f>(COUNTIF(Table1[[#This Row],[Spreadsheet]:[Functionality Verified?]],"=TRUE")/7) * 100</f>
        <v>0</v>
      </c>
      <c r="Y40" t="str">
        <f>IF(COUNTBLANK(Table1[[#This Row],[Part 2]])=0,_xlfn.CONCAT(Table1[[#This Row],[Part 1]]," - "),IF(COUNTBLANK(Table1[[#This Row],[Part 1]])=0,Table1[[#This Row],[Part 1]],""))</f>
        <v xml:space="preserve">Mechanical  - </v>
      </c>
      <c r="Z40" t="str">
        <f>IF(COUNTBLANK(Table1[[#This Row],[Part 3]])=0,_xlfn.CONCAT(Table1[[#This Row],[Part 2]]," - "),IF(COUNTBLANK(Table1[[#This Row],[Part 2]])=0,Table1[[#This Row],[Part 2]],""))</f>
        <v xml:space="preserve">Standoffs  - </v>
      </c>
      <c r="AA40" t="str">
        <f>IF(COUNTBLANK(Table1[[#This Row],[Part 4]])=0,_xlfn.CONCAT(Table1[[#This Row],[Part 3]]," - "),IF(COUNTBLANK(Table1[[#This Row],[Part 3]])=0,Table1[[#This Row],[Part 3]],""))</f>
        <v>F_F</v>
      </c>
      <c r="AB40" t="str">
        <f>IF(COUNTBLANK(Table1[[#This Row],[Part 5]])=0,_xlfn.CONCAT(Table1[[#This Row],[Part 4]]," - "),IF(COUNTBLANK(Table1[[#This Row],[Part 4]])=0,Table1[[#This Row],[Part 4]],""))</f>
        <v/>
      </c>
      <c r="AC40" t="str">
        <f>IF(COUNTBLANK(Table1[[#This Row],[Part 6]])=0,_xlfn.CONCAT(Table1[[#This Row],[Part 5]]," - "),IF(COUNTBLANK(Table1[[#This Row],[Part 5]])=0,Table1[[#This Row],[Part 5]],""))</f>
        <v/>
      </c>
      <c r="AD40" t="str">
        <f>IF(COUNTBLANK(Table1[[#This Row],[Part 7]])=0,_xlfn.CONCAT(Table1[[#This Row],[Part 6]]," - "),IF(COUNTBLANK(Table1[[#This Row],[Part 6]])=0,Table1[[#This Row],[Part 6]],""))</f>
        <v/>
      </c>
      <c r="AE40" t="str">
        <f>IF(COUNTBLANK(Table1[[#This Row],[Part 7]])=0,Table1[[#This Row],[Part 7]],"")</f>
        <v/>
      </c>
    </row>
    <row r="41" spans="8:31" x14ac:dyDescent="0.35">
      <c r="H41" t="str">
        <f>_xlfn.CONCAT(Table1[[#This Row],[Eff pt 1]:[Eff pt 7]])</f>
        <v>Mechanical  - Spacers</v>
      </c>
      <c r="I41" s="6" t="s">
        <v>133</v>
      </c>
      <c r="J41" t="s">
        <v>135</v>
      </c>
      <c r="P41" s="6" t="b">
        <v>0</v>
      </c>
      <c r="Q41" t="b">
        <v>0</v>
      </c>
      <c r="R41" t="b">
        <v>0</v>
      </c>
      <c r="S41" s="5" t="b">
        <v>0</v>
      </c>
      <c r="T41" t="b">
        <v>0</v>
      </c>
      <c r="U41" t="b">
        <v>0</v>
      </c>
      <c r="V41" t="b">
        <v>0</v>
      </c>
      <c r="W41">
        <v>0</v>
      </c>
      <c r="X41" s="6">
        <f>(COUNTIF(Table1[[#This Row],[Spreadsheet]:[Functionality Verified?]],"=TRUE")/7) * 100</f>
        <v>0</v>
      </c>
      <c r="Y41" t="str">
        <f>IF(COUNTBLANK(Table1[[#This Row],[Part 2]])=0,_xlfn.CONCAT(Table1[[#This Row],[Part 1]]," - "),IF(COUNTBLANK(Table1[[#This Row],[Part 1]])=0,Table1[[#This Row],[Part 1]],""))</f>
        <v xml:space="preserve">Mechanical  - </v>
      </c>
      <c r="Z41" t="str">
        <f>IF(COUNTBLANK(Table1[[#This Row],[Part 3]])=0,_xlfn.CONCAT(Table1[[#This Row],[Part 2]]," - "),IF(COUNTBLANK(Table1[[#This Row],[Part 2]])=0,Table1[[#This Row],[Part 2]],""))</f>
        <v>Spacers</v>
      </c>
      <c r="AA41" t="str">
        <f>IF(COUNTBLANK(Table1[[#This Row],[Part 4]])=0,_xlfn.CONCAT(Table1[[#This Row],[Part 3]]," - "),IF(COUNTBLANK(Table1[[#This Row],[Part 3]])=0,Table1[[#This Row],[Part 3]],""))</f>
        <v/>
      </c>
      <c r="AB41" t="str">
        <f>IF(COUNTBLANK(Table1[[#This Row],[Part 5]])=0,_xlfn.CONCAT(Table1[[#This Row],[Part 4]]," - "),IF(COUNTBLANK(Table1[[#This Row],[Part 4]])=0,Table1[[#This Row],[Part 4]],""))</f>
        <v/>
      </c>
      <c r="AC41" t="str">
        <f>IF(COUNTBLANK(Table1[[#This Row],[Part 6]])=0,_xlfn.CONCAT(Table1[[#This Row],[Part 5]]," - "),IF(COUNTBLANK(Table1[[#This Row],[Part 5]])=0,Table1[[#This Row],[Part 5]],""))</f>
        <v/>
      </c>
      <c r="AD41" t="str">
        <f>IF(COUNTBLANK(Table1[[#This Row],[Part 7]])=0,_xlfn.CONCAT(Table1[[#This Row],[Part 6]]," - "),IF(COUNTBLANK(Table1[[#This Row],[Part 6]])=0,Table1[[#This Row],[Part 6]],""))</f>
        <v/>
      </c>
      <c r="AE41" t="str">
        <f>IF(COUNTBLANK(Table1[[#This Row],[Part 7]])=0,Table1[[#This Row],[Part 7]],"")</f>
        <v/>
      </c>
    </row>
    <row r="42" spans="8:31" x14ac:dyDescent="0.35">
      <c r="H42" t="str">
        <f>_xlfn.CONCAT(Table1[[#This Row],[Eff pt 1]:[Eff pt 7]])</f>
        <v>Mechanical  - Nuts</v>
      </c>
      <c r="I42" s="6" t="s">
        <v>133</v>
      </c>
      <c r="J42" t="s">
        <v>137</v>
      </c>
      <c r="P42" s="6" t="b">
        <v>0</v>
      </c>
      <c r="Q42" t="b">
        <v>0</v>
      </c>
      <c r="R42" t="b">
        <v>0</v>
      </c>
      <c r="S42" s="5" t="b">
        <v>0</v>
      </c>
      <c r="T42" t="b">
        <v>0</v>
      </c>
      <c r="U42" t="b">
        <v>0</v>
      </c>
      <c r="V42" t="b">
        <v>0</v>
      </c>
      <c r="W42">
        <v>0</v>
      </c>
      <c r="X42" s="6">
        <f>(COUNTIF(Table1[[#This Row],[Spreadsheet]:[Functionality Verified?]],"=TRUE")/7) * 100</f>
        <v>0</v>
      </c>
      <c r="Y42" t="str">
        <f>IF(COUNTBLANK(Table1[[#This Row],[Part 2]])=0,_xlfn.CONCAT(Table1[[#This Row],[Part 1]]," - "),IF(COUNTBLANK(Table1[[#This Row],[Part 1]])=0,Table1[[#This Row],[Part 1]],""))</f>
        <v xml:space="preserve">Mechanical  - </v>
      </c>
      <c r="Z42" t="str">
        <f>IF(COUNTBLANK(Table1[[#This Row],[Part 3]])=0,_xlfn.CONCAT(Table1[[#This Row],[Part 2]]," - "),IF(COUNTBLANK(Table1[[#This Row],[Part 2]])=0,Table1[[#This Row],[Part 2]],""))</f>
        <v>Nuts</v>
      </c>
      <c r="AA42" t="str">
        <f>IF(COUNTBLANK(Table1[[#This Row],[Part 4]])=0,_xlfn.CONCAT(Table1[[#This Row],[Part 3]]," - "),IF(COUNTBLANK(Table1[[#This Row],[Part 3]])=0,Table1[[#This Row],[Part 3]],""))</f>
        <v/>
      </c>
      <c r="AB42" t="str">
        <f>IF(COUNTBLANK(Table1[[#This Row],[Part 5]])=0,_xlfn.CONCAT(Table1[[#This Row],[Part 4]]," - "),IF(COUNTBLANK(Table1[[#This Row],[Part 4]])=0,Table1[[#This Row],[Part 4]],""))</f>
        <v/>
      </c>
      <c r="AC42" t="str">
        <f>IF(COUNTBLANK(Table1[[#This Row],[Part 6]])=0,_xlfn.CONCAT(Table1[[#This Row],[Part 5]]," - "),IF(COUNTBLANK(Table1[[#This Row],[Part 5]])=0,Table1[[#This Row],[Part 5]],""))</f>
        <v/>
      </c>
      <c r="AD42" t="str">
        <f>IF(COUNTBLANK(Table1[[#This Row],[Part 7]])=0,_xlfn.CONCAT(Table1[[#This Row],[Part 6]]," - "),IF(COUNTBLANK(Table1[[#This Row],[Part 6]])=0,Table1[[#This Row],[Part 6]],""))</f>
        <v/>
      </c>
      <c r="AE42" t="str">
        <f>IF(COUNTBLANK(Table1[[#This Row],[Part 7]])=0,Table1[[#This Row],[Part 7]],"")</f>
        <v/>
      </c>
    </row>
    <row r="43" spans="8:31" x14ac:dyDescent="0.35">
      <c r="H43" t="str">
        <f>_xlfn.CONCAT(Table1[[#This Row],[Eff pt 1]:[Eff pt 7]])</f>
        <v>Mechanical  - Heat Shrink</v>
      </c>
      <c r="I43" s="6" t="s">
        <v>133</v>
      </c>
      <c r="J43" t="s">
        <v>147</v>
      </c>
      <c r="P43" s="6" t="b">
        <v>0</v>
      </c>
      <c r="Q43" t="b">
        <v>0</v>
      </c>
      <c r="R43" t="b">
        <v>0</v>
      </c>
      <c r="S43" s="5" t="b">
        <v>1</v>
      </c>
      <c r="T43" t="b">
        <v>0</v>
      </c>
      <c r="U43" t="b">
        <v>0</v>
      </c>
      <c r="V43" t="b">
        <v>0</v>
      </c>
      <c r="W43">
        <v>0</v>
      </c>
      <c r="X43" s="6">
        <f>(COUNTIF(Table1[[#This Row],[Spreadsheet]:[Functionality Verified?]],"=TRUE")/7) * 100</f>
        <v>14.285714285714285</v>
      </c>
      <c r="Y43" t="str">
        <f>IF(COUNTBLANK(Table1[[#This Row],[Part 2]])=0,_xlfn.CONCAT(Table1[[#This Row],[Part 1]]," - "),IF(COUNTBLANK(Table1[[#This Row],[Part 1]])=0,Table1[[#This Row],[Part 1]],""))</f>
        <v xml:space="preserve">Mechanical  - </v>
      </c>
      <c r="Z43" t="str">
        <f>IF(COUNTBLANK(Table1[[#This Row],[Part 3]])=0,_xlfn.CONCAT(Table1[[#This Row],[Part 2]]," - "),IF(COUNTBLANK(Table1[[#This Row],[Part 2]])=0,Table1[[#This Row],[Part 2]],""))</f>
        <v>Heat Shrink</v>
      </c>
      <c r="AA43" t="str">
        <f>IF(COUNTBLANK(Table1[[#This Row],[Part 4]])=0,_xlfn.CONCAT(Table1[[#This Row],[Part 3]]," - "),IF(COUNTBLANK(Table1[[#This Row],[Part 3]])=0,Table1[[#This Row],[Part 3]],""))</f>
        <v/>
      </c>
      <c r="AB43" t="str">
        <f>IF(COUNTBLANK(Table1[[#This Row],[Part 5]])=0,_xlfn.CONCAT(Table1[[#This Row],[Part 4]]," - "),IF(COUNTBLANK(Table1[[#This Row],[Part 4]])=0,Table1[[#This Row],[Part 4]],""))</f>
        <v/>
      </c>
      <c r="AC43" t="str">
        <f>IF(COUNTBLANK(Table1[[#This Row],[Part 6]])=0,_xlfn.CONCAT(Table1[[#This Row],[Part 5]]," - "),IF(COUNTBLANK(Table1[[#This Row],[Part 5]])=0,Table1[[#This Row],[Part 5]],""))</f>
        <v/>
      </c>
      <c r="AD43" t="str">
        <f>IF(COUNTBLANK(Table1[[#This Row],[Part 7]])=0,_xlfn.CONCAT(Table1[[#This Row],[Part 6]]," - "),IF(COUNTBLANK(Table1[[#This Row],[Part 6]])=0,Table1[[#This Row],[Part 6]],""))</f>
        <v/>
      </c>
      <c r="AE43" t="str">
        <f>IF(COUNTBLANK(Table1[[#This Row],[Part 7]])=0,Table1[[#This Row],[Part 7]],"")</f>
        <v/>
      </c>
    </row>
    <row r="44" spans="8:31" x14ac:dyDescent="0.35">
      <c r="H44" t="str">
        <f>_xlfn.CONCAT(Table1[[#This Row],[Eff pt 1]:[Eff pt 7]])</f>
        <v>LEDs - RGB</v>
      </c>
      <c r="I44" s="6" t="s">
        <v>152</v>
      </c>
      <c r="J44" t="s">
        <v>154</v>
      </c>
      <c r="P44" s="6" t="b">
        <v>0</v>
      </c>
      <c r="Q44" t="b">
        <v>0</v>
      </c>
      <c r="R44" t="b">
        <v>0</v>
      </c>
      <c r="S44" s="5" t="b">
        <v>0</v>
      </c>
      <c r="T44" t="b">
        <v>1</v>
      </c>
      <c r="U44" t="b">
        <v>1</v>
      </c>
      <c r="V44" t="b">
        <v>0</v>
      </c>
      <c r="W44">
        <v>0</v>
      </c>
      <c r="X44" s="6">
        <f>(COUNTIF(Table1[[#This Row],[Spreadsheet]:[Functionality Verified?]],"=TRUE")/7) * 100</f>
        <v>28.571428571428569</v>
      </c>
      <c r="Y44" t="str">
        <f>IF(COUNTBLANK(Table1[[#This Row],[Part 2]])=0,_xlfn.CONCAT(Table1[[#This Row],[Part 1]]," - "),IF(COUNTBLANK(Table1[[#This Row],[Part 1]])=0,Table1[[#This Row],[Part 1]],""))</f>
        <v xml:space="preserve">LEDs - </v>
      </c>
      <c r="Z44" t="str">
        <f>IF(COUNTBLANK(Table1[[#This Row],[Part 3]])=0,_xlfn.CONCAT(Table1[[#This Row],[Part 2]]," - "),IF(COUNTBLANK(Table1[[#This Row],[Part 2]])=0,Table1[[#This Row],[Part 2]],""))</f>
        <v>RGB</v>
      </c>
      <c r="AA44" t="str">
        <f>IF(COUNTBLANK(Table1[[#This Row],[Part 4]])=0,_xlfn.CONCAT(Table1[[#This Row],[Part 3]]," - "),IF(COUNTBLANK(Table1[[#This Row],[Part 3]])=0,Table1[[#This Row],[Part 3]],""))</f>
        <v/>
      </c>
      <c r="AB44" t="str">
        <f>IF(COUNTBLANK(Table1[[#This Row],[Part 5]])=0,_xlfn.CONCAT(Table1[[#This Row],[Part 4]]," - "),IF(COUNTBLANK(Table1[[#This Row],[Part 4]])=0,Table1[[#This Row],[Part 4]],""))</f>
        <v/>
      </c>
      <c r="AC44" t="str">
        <f>IF(COUNTBLANK(Table1[[#This Row],[Part 6]])=0,_xlfn.CONCAT(Table1[[#This Row],[Part 5]]," - "),IF(COUNTBLANK(Table1[[#This Row],[Part 5]])=0,Table1[[#This Row],[Part 5]],""))</f>
        <v/>
      </c>
      <c r="AD44" t="str">
        <f>IF(COUNTBLANK(Table1[[#This Row],[Part 7]])=0,_xlfn.CONCAT(Table1[[#This Row],[Part 6]]," - "),IF(COUNTBLANK(Table1[[#This Row],[Part 6]])=0,Table1[[#This Row],[Part 6]],""))</f>
        <v/>
      </c>
      <c r="AE44" t="str">
        <f>IF(COUNTBLANK(Table1[[#This Row],[Part 7]])=0,Table1[[#This Row],[Part 7]],"")</f>
        <v/>
      </c>
    </row>
    <row r="45" spans="8:31" x14ac:dyDescent="0.35">
      <c r="H45" t="str">
        <f>_xlfn.CONCAT(Table1[[#This Row],[Eff pt 1]:[Eff pt 7]])</f>
        <v>Isolators - Optoisolator</v>
      </c>
      <c r="I45" s="6" t="s">
        <v>97</v>
      </c>
      <c r="J45" t="s">
        <v>217</v>
      </c>
      <c r="P45" s="6" t="b">
        <v>0</v>
      </c>
      <c r="Q45" t="b">
        <v>0</v>
      </c>
      <c r="R45" t="b">
        <v>0</v>
      </c>
      <c r="S45" s="5" t="b">
        <v>0</v>
      </c>
      <c r="T45" t="b">
        <v>0</v>
      </c>
      <c r="U45" t="b">
        <v>0</v>
      </c>
      <c r="V45" t="b">
        <v>0</v>
      </c>
      <c r="W45">
        <v>0</v>
      </c>
      <c r="X45" s="6">
        <f>(COUNTIF(Table1[[#This Row],[Spreadsheet]:[Functionality Verified?]],"=TRUE")/7) * 100</f>
        <v>0</v>
      </c>
      <c r="Y45" t="str">
        <f>IF(COUNTBLANK(Table1[[#This Row],[Part 2]])=0,_xlfn.CONCAT(Table1[[#This Row],[Part 1]]," - "),IF(COUNTBLANK(Table1[[#This Row],[Part 1]])=0,Table1[[#This Row],[Part 1]],""))</f>
        <v xml:space="preserve">Isolators - </v>
      </c>
      <c r="Z45" t="str">
        <f>IF(COUNTBLANK(Table1[[#This Row],[Part 3]])=0,_xlfn.CONCAT(Table1[[#This Row],[Part 2]]," - "),IF(COUNTBLANK(Table1[[#This Row],[Part 2]])=0,Table1[[#This Row],[Part 2]],""))</f>
        <v>Optoisolator</v>
      </c>
      <c r="AA45" t="str">
        <f>IF(COUNTBLANK(Table1[[#This Row],[Part 4]])=0,_xlfn.CONCAT(Table1[[#This Row],[Part 3]]," - "),IF(COUNTBLANK(Table1[[#This Row],[Part 3]])=0,Table1[[#This Row],[Part 3]],""))</f>
        <v/>
      </c>
      <c r="AB45" t="str">
        <f>IF(COUNTBLANK(Table1[[#This Row],[Part 5]])=0,_xlfn.CONCAT(Table1[[#This Row],[Part 4]]," - "),IF(COUNTBLANK(Table1[[#This Row],[Part 4]])=0,Table1[[#This Row],[Part 4]],""))</f>
        <v/>
      </c>
      <c r="AC45" t="str">
        <f>IF(COUNTBLANK(Table1[[#This Row],[Part 6]])=0,_xlfn.CONCAT(Table1[[#This Row],[Part 5]]," - "),IF(COUNTBLANK(Table1[[#This Row],[Part 5]])=0,Table1[[#This Row],[Part 5]],""))</f>
        <v/>
      </c>
      <c r="AD45" t="str">
        <f>IF(COUNTBLANK(Table1[[#This Row],[Part 7]])=0,_xlfn.CONCAT(Table1[[#This Row],[Part 6]]," - "),IF(COUNTBLANK(Table1[[#This Row],[Part 6]])=0,Table1[[#This Row],[Part 6]],""))</f>
        <v/>
      </c>
      <c r="AE45" t="str">
        <f>IF(COUNTBLANK(Table1[[#This Row],[Part 7]])=0,Table1[[#This Row],[Part 7]],"")</f>
        <v/>
      </c>
    </row>
    <row r="46" spans="8:31" x14ac:dyDescent="0.35">
      <c r="H46" t="str">
        <f>_xlfn.CONCAT(Table1[[#This Row],[Eff pt 1]:[Eff pt 7]])</f>
        <v>Isolators - Digital</v>
      </c>
      <c r="I46" s="6" t="s">
        <v>97</v>
      </c>
      <c r="J46" t="s">
        <v>98</v>
      </c>
      <c r="P46" s="6" t="b">
        <v>1</v>
      </c>
      <c r="Q46" t="b">
        <v>1</v>
      </c>
      <c r="R46" t="b">
        <v>1</v>
      </c>
      <c r="S46" s="5" t="b">
        <v>1</v>
      </c>
      <c r="T46" t="b">
        <v>1</v>
      </c>
      <c r="U46" t="b">
        <v>1</v>
      </c>
      <c r="V46" t="s">
        <v>184</v>
      </c>
      <c r="W46">
        <v>0</v>
      </c>
      <c r="X46" s="6">
        <f>(COUNTIF(Table1[[#This Row],[Spreadsheet]:[Functionality Verified?]],"=TRUE")/7) * 100</f>
        <v>85.714285714285708</v>
      </c>
      <c r="Y46" t="str">
        <f>IF(COUNTBLANK(Table1[[#This Row],[Part 2]])=0,_xlfn.CONCAT(Table1[[#This Row],[Part 1]]," - "),IF(COUNTBLANK(Table1[[#This Row],[Part 1]])=0,Table1[[#This Row],[Part 1]],""))</f>
        <v xml:space="preserve">Isolators - </v>
      </c>
      <c r="Z46" t="str">
        <f>IF(COUNTBLANK(Table1[[#This Row],[Part 3]])=0,_xlfn.CONCAT(Table1[[#This Row],[Part 2]]," - "),IF(COUNTBLANK(Table1[[#This Row],[Part 2]])=0,Table1[[#This Row],[Part 2]],""))</f>
        <v>Digital</v>
      </c>
      <c r="AA46" t="str">
        <f>IF(COUNTBLANK(Table1[[#This Row],[Part 4]])=0,_xlfn.CONCAT(Table1[[#This Row],[Part 3]]," - "),IF(COUNTBLANK(Table1[[#This Row],[Part 3]])=0,Table1[[#This Row],[Part 3]],""))</f>
        <v/>
      </c>
      <c r="AB46" t="str">
        <f>IF(COUNTBLANK(Table1[[#This Row],[Part 5]])=0,_xlfn.CONCAT(Table1[[#This Row],[Part 4]]," - "),IF(COUNTBLANK(Table1[[#This Row],[Part 4]])=0,Table1[[#This Row],[Part 4]],""))</f>
        <v/>
      </c>
      <c r="AC46" t="str">
        <f>IF(COUNTBLANK(Table1[[#This Row],[Part 6]])=0,_xlfn.CONCAT(Table1[[#This Row],[Part 5]]," - "),IF(COUNTBLANK(Table1[[#This Row],[Part 5]])=0,Table1[[#This Row],[Part 5]],""))</f>
        <v/>
      </c>
      <c r="AD46" t="str">
        <f>IF(COUNTBLANK(Table1[[#This Row],[Part 7]])=0,_xlfn.CONCAT(Table1[[#This Row],[Part 6]]," - "),IF(COUNTBLANK(Table1[[#This Row],[Part 6]])=0,Table1[[#This Row],[Part 6]],""))</f>
        <v/>
      </c>
      <c r="AE46" t="str">
        <f>IF(COUNTBLANK(Table1[[#This Row],[Part 7]])=0,Table1[[#This Row],[Part 7]],"")</f>
        <v/>
      </c>
    </row>
    <row r="47" spans="8:31" x14ac:dyDescent="0.35">
      <c r="H47" t="str">
        <f>_xlfn.CONCAT(Table1[[#This Row],[Eff pt 1]:[Eff pt 7]])</f>
        <v>Isolators - Analog</v>
      </c>
      <c r="I47" s="6" t="s">
        <v>97</v>
      </c>
      <c r="J47" t="s">
        <v>99</v>
      </c>
      <c r="P47" s="6" t="b">
        <v>0</v>
      </c>
      <c r="Q47" t="b">
        <v>0</v>
      </c>
      <c r="R47" t="b">
        <v>0</v>
      </c>
      <c r="S47" s="5" t="b">
        <v>0</v>
      </c>
      <c r="T47" t="b">
        <v>0</v>
      </c>
      <c r="U47" t="b">
        <v>1</v>
      </c>
      <c r="V47" t="b">
        <v>0</v>
      </c>
      <c r="W47">
        <v>0</v>
      </c>
      <c r="X47" s="6">
        <f>(COUNTIF(Table1[[#This Row],[Spreadsheet]:[Functionality Verified?]],"=TRUE")/7) * 100</f>
        <v>14.285714285714285</v>
      </c>
      <c r="Y47" t="str">
        <f>IF(COUNTBLANK(Table1[[#This Row],[Part 2]])=0,_xlfn.CONCAT(Table1[[#This Row],[Part 1]]," - "),IF(COUNTBLANK(Table1[[#This Row],[Part 1]])=0,Table1[[#This Row],[Part 1]],""))</f>
        <v xml:space="preserve">Isolators - </v>
      </c>
      <c r="Z47" t="str">
        <f>IF(COUNTBLANK(Table1[[#This Row],[Part 3]])=0,_xlfn.CONCAT(Table1[[#This Row],[Part 2]]," - "),IF(COUNTBLANK(Table1[[#This Row],[Part 2]])=0,Table1[[#This Row],[Part 2]],""))</f>
        <v>Analog</v>
      </c>
      <c r="AA47" t="str">
        <f>IF(COUNTBLANK(Table1[[#This Row],[Part 4]])=0,_xlfn.CONCAT(Table1[[#This Row],[Part 3]]," - "),IF(COUNTBLANK(Table1[[#This Row],[Part 3]])=0,Table1[[#This Row],[Part 3]],""))</f>
        <v/>
      </c>
      <c r="AB47" t="str">
        <f>IF(COUNTBLANK(Table1[[#This Row],[Part 5]])=0,_xlfn.CONCAT(Table1[[#This Row],[Part 4]]," - "),IF(COUNTBLANK(Table1[[#This Row],[Part 4]])=0,Table1[[#This Row],[Part 4]],""))</f>
        <v/>
      </c>
      <c r="AC47" t="str">
        <f>IF(COUNTBLANK(Table1[[#This Row],[Part 6]])=0,_xlfn.CONCAT(Table1[[#This Row],[Part 5]]," - "),IF(COUNTBLANK(Table1[[#This Row],[Part 5]])=0,Table1[[#This Row],[Part 5]],""))</f>
        <v/>
      </c>
      <c r="AD47" t="str">
        <f>IF(COUNTBLANK(Table1[[#This Row],[Part 7]])=0,_xlfn.CONCAT(Table1[[#This Row],[Part 6]]," - "),IF(COUNTBLANK(Table1[[#This Row],[Part 6]])=0,Table1[[#This Row],[Part 6]],""))</f>
        <v/>
      </c>
      <c r="AE47" t="str">
        <f>IF(COUNTBLANK(Table1[[#This Row],[Part 7]])=0,Table1[[#This Row],[Part 7]],"")</f>
        <v/>
      </c>
    </row>
    <row r="48" spans="8:31" x14ac:dyDescent="0.35">
      <c r="H48" t="str">
        <f>_xlfn.CONCAT(Table1[[#This Row],[Eff pt 1]:[Eff pt 7]])</f>
        <v>Inductors - Common Mode Choke</v>
      </c>
      <c r="I48" s="6" t="s">
        <v>37</v>
      </c>
      <c r="J48" t="s">
        <v>80</v>
      </c>
      <c r="P48" s="6" t="b">
        <v>1</v>
      </c>
      <c r="Q48" t="b">
        <v>1</v>
      </c>
      <c r="R48" t="b">
        <v>1</v>
      </c>
      <c r="S48" s="5" t="b">
        <v>1</v>
      </c>
      <c r="T48" t="b">
        <v>1</v>
      </c>
      <c r="U48" t="b">
        <v>1</v>
      </c>
      <c r="V48" t="s">
        <v>184</v>
      </c>
      <c r="W48">
        <v>0</v>
      </c>
      <c r="X48" s="6">
        <f>(COUNTIF(Table1[[#This Row],[Spreadsheet]:[Functionality Verified?]],"=TRUE")/7) * 100</f>
        <v>85.714285714285708</v>
      </c>
      <c r="Y48" t="str">
        <f>IF(COUNTBLANK(Table1[[#This Row],[Part 2]])=0,_xlfn.CONCAT(Table1[[#This Row],[Part 1]]," - "),IF(COUNTBLANK(Table1[[#This Row],[Part 1]])=0,Table1[[#This Row],[Part 1]],""))</f>
        <v xml:space="preserve">Inductors - </v>
      </c>
      <c r="Z48" t="str">
        <f>IF(COUNTBLANK(Table1[[#This Row],[Part 3]])=0,_xlfn.CONCAT(Table1[[#This Row],[Part 2]]," - "),IF(COUNTBLANK(Table1[[#This Row],[Part 2]])=0,Table1[[#This Row],[Part 2]],""))</f>
        <v>Common Mode Choke</v>
      </c>
      <c r="AA48" t="str">
        <f>IF(COUNTBLANK(Table1[[#This Row],[Part 4]])=0,_xlfn.CONCAT(Table1[[#This Row],[Part 3]]," - "),IF(COUNTBLANK(Table1[[#This Row],[Part 3]])=0,Table1[[#This Row],[Part 3]],""))</f>
        <v/>
      </c>
      <c r="AB48" t="str">
        <f>IF(COUNTBLANK(Table1[[#This Row],[Part 5]])=0,_xlfn.CONCAT(Table1[[#This Row],[Part 4]]," - "),IF(COUNTBLANK(Table1[[#This Row],[Part 4]])=0,Table1[[#This Row],[Part 4]],""))</f>
        <v/>
      </c>
      <c r="AC48" t="str">
        <f>IF(COUNTBLANK(Table1[[#This Row],[Part 6]])=0,_xlfn.CONCAT(Table1[[#This Row],[Part 5]]," - "),IF(COUNTBLANK(Table1[[#This Row],[Part 5]])=0,Table1[[#This Row],[Part 5]],""))</f>
        <v/>
      </c>
      <c r="AD48" t="str">
        <f>IF(COUNTBLANK(Table1[[#This Row],[Part 7]])=0,_xlfn.CONCAT(Table1[[#This Row],[Part 6]]," - "),IF(COUNTBLANK(Table1[[#This Row],[Part 6]])=0,Table1[[#This Row],[Part 6]],""))</f>
        <v/>
      </c>
      <c r="AE48" t="str">
        <f>IF(COUNTBLANK(Table1[[#This Row],[Part 7]])=0,Table1[[#This Row],[Part 7]],"")</f>
        <v/>
      </c>
    </row>
    <row r="49" spans="8:31" x14ac:dyDescent="0.35">
      <c r="H49" t="str">
        <f>_xlfn.CONCAT(Table1[[#This Row],[Eff pt 1]:[Eff pt 7]])</f>
        <v>ICs - RTCs</v>
      </c>
      <c r="I49" s="6" t="s">
        <v>100</v>
      </c>
      <c r="J49" t="s">
        <v>209</v>
      </c>
      <c r="P49" s="6" t="b">
        <v>1</v>
      </c>
      <c r="Q49" t="b">
        <v>1</v>
      </c>
      <c r="R49" t="b">
        <v>1</v>
      </c>
      <c r="S49" s="5" t="b">
        <v>1</v>
      </c>
      <c r="T49" t="b">
        <v>1</v>
      </c>
      <c r="U49" t="b">
        <v>1</v>
      </c>
      <c r="V49" t="s">
        <v>184</v>
      </c>
      <c r="W49">
        <v>0</v>
      </c>
      <c r="X49" s="6">
        <f>(COUNTIF(Table1[[#This Row],[Spreadsheet]:[Functionality Verified?]],"=TRUE")/7) * 100</f>
        <v>85.714285714285708</v>
      </c>
      <c r="Y49" t="str">
        <f>IF(COUNTBLANK(Table1[[#This Row],[Part 2]])=0,_xlfn.CONCAT(Table1[[#This Row],[Part 1]]," - "),IF(COUNTBLANK(Table1[[#This Row],[Part 1]])=0,Table1[[#This Row],[Part 1]],""))</f>
        <v xml:space="preserve">ICs - </v>
      </c>
      <c r="Z49" t="str">
        <f>IF(COUNTBLANK(Table1[[#This Row],[Part 3]])=0,_xlfn.CONCAT(Table1[[#This Row],[Part 2]]," - "),IF(COUNTBLANK(Table1[[#This Row],[Part 2]])=0,Table1[[#This Row],[Part 2]],""))</f>
        <v>RTCs</v>
      </c>
      <c r="AA49" t="str">
        <f>IF(COUNTBLANK(Table1[[#This Row],[Part 4]])=0,_xlfn.CONCAT(Table1[[#This Row],[Part 3]]," - "),IF(COUNTBLANK(Table1[[#This Row],[Part 3]])=0,Table1[[#This Row],[Part 3]],""))</f>
        <v/>
      </c>
      <c r="AB49" t="str">
        <f>IF(COUNTBLANK(Table1[[#This Row],[Part 5]])=0,_xlfn.CONCAT(Table1[[#This Row],[Part 4]]," - "),IF(COUNTBLANK(Table1[[#This Row],[Part 4]])=0,Table1[[#This Row],[Part 4]],""))</f>
        <v/>
      </c>
      <c r="AC49" t="str">
        <f>IF(COUNTBLANK(Table1[[#This Row],[Part 6]])=0,_xlfn.CONCAT(Table1[[#This Row],[Part 5]]," - "),IF(COUNTBLANK(Table1[[#This Row],[Part 5]])=0,Table1[[#This Row],[Part 5]],""))</f>
        <v/>
      </c>
      <c r="AD49" t="str">
        <f>IF(COUNTBLANK(Table1[[#This Row],[Part 7]])=0,_xlfn.CONCAT(Table1[[#This Row],[Part 6]]," - "),IF(COUNTBLANK(Table1[[#This Row],[Part 6]])=0,Table1[[#This Row],[Part 6]],""))</f>
        <v/>
      </c>
      <c r="AE49" t="str">
        <f>IF(COUNTBLANK(Table1[[#This Row],[Part 7]])=0,Table1[[#This Row],[Part 7]],"")</f>
        <v/>
      </c>
    </row>
    <row r="50" spans="8:31" x14ac:dyDescent="0.35">
      <c r="H50" t="str">
        <f>_xlfn.CONCAT(Table1[[#This Row],[Eff pt 1]:[Eff pt 7]])</f>
        <v>ICs - Power - Switching Regulator</v>
      </c>
      <c r="I50" s="6" t="s">
        <v>100</v>
      </c>
      <c r="J50" t="s">
        <v>88</v>
      </c>
      <c r="K50" t="s">
        <v>216</v>
      </c>
      <c r="P50" s="6" t="b">
        <v>0</v>
      </c>
      <c r="Q50" t="b">
        <v>0</v>
      </c>
      <c r="R50" t="b">
        <v>0</v>
      </c>
      <c r="S50" s="5" t="b">
        <v>0</v>
      </c>
      <c r="T50" t="b">
        <v>0</v>
      </c>
      <c r="U50" t="b">
        <v>1</v>
      </c>
      <c r="V50" t="b">
        <v>0</v>
      </c>
      <c r="W50">
        <v>0</v>
      </c>
      <c r="X50" s="6">
        <f>(COUNTIF(Table1[[#This Row],[Spreadsheet]:[Functionality Verified?]],"=TRUE")/7) * 100</f>
        <v>14.285714285714285</v>
      </c>
      <c r="Y50" t="str">
        <f>IF(COUNTBLANK(Table1[[#This Row],[Part 2]])=0,_xlfn.CONCAT(Table1[[#This Row],[Part 1]]," - "),IF(COUNTBLANK(Table1[[#This Row],[Part 1]])=0,Table1[[#This Row],[Part 1]],""))</f>
        <v xml:space="preserve">ICs - </v>
      </c>
      <c r="Z50" t="str">
        <f>IF(COUNTBLANK(Table1[[#This Row],[Part 3]])=0,_xlfn.CONCAT(Table1[[#This Row],[Part 2]]," - "),IF(COUNTBLANK(Table1[[#This Row],[Part 2]])=0,Table1[[#This Row],[Part 2]],""))</f>
        <v xml:space="preserve">Power - </v>
      </c>
      <c r="AA50" t="str">
        <f>IF(COUNTBLANK(Table1[[#This Row],[Part 4]])=0,_xlfn.CONCAT(Table1[[#This Row],[Part 3]]," - "),IF(COUNTBLANK(Table1[[#This Row],[Part 3]])=0,Table1[[#This Row],[Part 3]],""))</f>
        <v>Switching Regulator</v>
      </c>
      <c r="AB50" t="str">
        <f>IF(COUNTBLANK(Table1[[#This Row],[Part 5]])=0,_xlfn.CONCAT(Table1[[#This Row],[Part 4]]," - "),IF(COUNTBLANK(Table1[[#This Row],[Part 4]])=0,Table1[[#This Row],[Part 4]],""))</f>
        <v/>
      </c>
      <c r="AC50" t="str">
        <f>IF(COUNTBLANK(Table1[[#This Row],[Part 6]])=0,_xlfn.CONCAT(Table1[[#This Row],[Part 5]]," - "),IF(COUNTBLANK(Table1[[#This Row],[Part 5]])=0,Table1[[#This Row],[Part 5]],""))</f>
        <v/>
      </c>
      <c r="AD50" t="str">
        <f>IF(COUNTBLANK(Table1[[#This Row],[Part 7]])=0,_xlfn.CONCAT(Table1[[#This Row],[Part 6]]," - "),IF(COUNTBLANK(Table1[[#This Row],[Part 6]])=0,Table1[[#This Row],[Part 6]],""))</f>
        <v/>
      </c>
      <c r="AE50" t="str">
        <f>IF(COUNTBLANK(Table1[[#This Row],[Part 7]])=0,Table1[[#This Row],[Part 7]],"")</f>
        <v/>
      </c>
    </row>
    <row r="51" spans="8:31" x14ac:dyDescent="0.35">
      <c r="H51" t="str">
        <f>_xlfn.CONCAT(Table1[[#This Row],[Eff pt 1]:[Eff pt 7]])</f>
        <v>ICs - Power - Switching Controler</v>
      </c>
      <c r="I51" s="6" t="s">
        <v>100</v>
      </c>
      <c r="J51" t="s">
        <v>88</v>
      </c>
      <c r="K51" t="s">
        <v>104</v>
      </c>
      <c r="P51" s="6" t="b">
        <v>0</v>
      </c>
      <c r="Q51" t="b">
        <v>0</v>
      </c>
      <c r="R51" t="b">
        <v>0</v>
      </c>
      <c r="S51" s="5" t="b">
        <v>0</v>
      </c>
      <c r="T51" t="b">
        <v>0</v>
      </c>
      <c r="U51" t="b">
        <v>1</v>
      </c>
      <c r="V51" t="b">
        <v>0</v>
      </c>
      <c r="W51">
        <v>0</v>
      </c>
      <c r="X51" s="6">
        <f>(COUNTIF(Table1[[#This Row],[Spreadsheet]:[Functionality Verified?]],"=TRUE")/7) * 100</f>
        <v>14.285714285714285</v>
      </c>
      <c r="Y51" t="str">
        <f>IF(COUNTBLANK(Table1[[#This Row],[Part 2]])=0,_xlfn.CONCAT(Table1[[#This Row],[Part 1]]," - "),IF(COUNTBLANK(Table1[[#This Row],[Part 1]])=0,Table1[[#This Row],[Part 1]],""))</f>
        <v xml:space="preserve">ICs - </v>
      </c>
      <c r="Z51" t="str">
        <f>IF(COUNTBLANK(Table1[[#This Row],[Part 3]])=0,_xlfn.CONCAT(Table1[[#This Row],[Part 2]]," - "),IF(COUNTBLANK(Table1[[#This Row],[Part 2]])=0,Table1[[#This Row],[Part 2]],""))</f>
        <v xml:space="preserve">Power - </v>
      </c>
      <c r="AA51" t="str">
        <f>IF(COUNTBLANK(Table1[[#This Row],[Part 4]])=0,_xlfn.CONCAT(Table1[[#This Row],[Part 3]]," - "),IF(COUNTBLANK(Table1[[#This Row],[Part 3]])=0,Table1[[#This Row],[Part 3]],""))</f>
        <v>Switching Controler</v>
      </c>
      <c r="AB51" t="str">
        <f>IF(COUNTBLANK(Table1[[#This Row],[Part 5]])=0,_xlfn.CONCAT(Table1[[#This Row],[Part 4]]," - "),IF(COUNTBLANK(Table1[[#This Row],[Part 4]])=0,Table1[[#This Row],[Part 4]],""))</f>
        <v/>
      </c>
      <c r="AC51" t="str">
        <f>IF(COUNTBLANK(Table1[[#This Row],[Part 6]])=0,_xlfn.CONCAT(Table1[[#This Row],[Part 5]]," - "),IF(COUNTBLANK(Table1[[#This Row],[Part 5]])=0,Table1[[#This Row],[Part 5]],""))</f>
        <v/>
      </c>
      <c r="AD51" t="str">
        <f>IF(COUNTBLANK(Table1[[#This Row],[Part 7]])=0,_xlfn.CONCAT(Table1[[#This Row],[Part 6]]," - "),IF(COUNTBLANK(Table1[[#This Row],[Part 6]])=0,Table1[[#This Row],[Part 6]],""))</f>
        <v/>
      </c>
      <c r="AE51" t="str">
        <f>IF(COUNTBLANK(Table1[[#This Row],[Part 7]])=0,Table1[[#This Row],[Part 7]],"")</f>
        <v/>
      </c>
    </row>
    <row r="52" spans="8:31" x14ac:dyDescent="0.35">
      <c r="H52" t="str">
        <f>_xlfn.CONCAT(Table1[[#This Row],[Eff pt 1]:[Eff pt 7]])</f>
        <v>ICs - Power - Supply Sequencing</v>
      </c>
      <c r="I52" s="6" t="s">
        <v>100</v>
      </c>
      <c r="J52" t="s">
        <v>88</v>
      </c>
      <c r="K52" t="s">
        <v>199</v>
      </c>
      <c r="P52" s="6" t="b">
        <v>0</v>
      </c>
      <c r="Q52" t="b">
        <v>0</v>
      </c>
      <c r="R52" t="b">
        <v>0</v>
      </c>
      <c r="S52" s="5" t="b">
        <v>0</v>
      </c>
      <c r="T52" t="b">
        <v>0</v>
      </c>
      <c r="U52" t="b">
        <v>0</v>
      </c>
      <c r="V52" t="b">
        <v>0</v>
      </c>
      <c r="W52">
        <v>0</v>
      </c>
      <c r="X52" s="6">
        <f>(COUNTIF(Table1[[#This Row],[Spreadsheet]:[Functionality Verified?]],"=TRUE")/7) * 100</f>
        <v>0</v>
      </c>
      <c r="Y52" t="str">
        <f>IF(COUNTBLANK(Table1[[#This Row],[Part 2]])=0,_xlfn.CONCAT(Table1[[#This Row],[Part 1]]," - "),IF(COUNTBLANK(Table1[[#This Row],[Part 1]])=0,Table1[[#This Row],[Part 1]],""))</f>
        <v xml:space="preserve">ICs - </v>
      </c>
      <c r="Z52" t="str">
        <f>IF(COUNTBLANK(Table1[[#This Row],[Part 3]])=0,_xlfn.CONCAT(Table1[[#This Row],[Part 2]]," - "),IF(COUNTBLANK(Table1[[#This Row],[Part 2]])=0,Table1[[#This Row],[Part 2]],""))</f>
        <v xml:space="preserve">Power - </v>
      </c>
      <c r="AA52" t="str">
        <f>IF(COUNTBLANK(Table1[[#This Row],[Part 4]])=0,_xlfn.CONCAT(Table1[[#This Row],[Part 3]]," - "),IF(COUNTBLANK(Table1[[#This Row],[Part 3]])=0,Table1[[#This Row],[Part 3]],""))</f>
        <v>Supply Sequencing</v>
      </c>
      <c r="AB52" t="str">
        <f>IF(COUNTBLANK(Table1[[#This Row],[Part 5]])=0,_xlfn.CONCAT(Table1[[#This Row],[Part 4]]," - "),IF(COUNTBLANK(Table1[[#This Row],[Part 4]])=0,Table1[[#This Row],[Part 4]],""))</f>
        <v/>
      </c>
      <c r="AC52" t="str">
        <f>IF(COUNTBLANK(Table1[[#This Row],[Part 6]])=0,_xlfn.CONCAT(Table1[[#This Row],[Part 5]]," - "),IF(COUNTBLANK(Table1[[#This Row],[Part 5]])=0,Table1[[#This Row],[Part 5]],""))</f>
        <v/>
      </c>
      <c r="AD52" t="str">
        <f>IF(COUNTBLANK(Table1[[#This Row],[Part 7]])=0,_xlfn.CONCAT(Table1[[#This Row],[Part 6]]," - "),IF(COUNTBLANK(Table1[[#This Row],[Part 6]])=0,Table1[[#This Row],[Part 6]],""))</f>
        <v/>
      </c>
      <c r="AE52" t="str">
        <f>IF(COUNTBLANK(Table1[[#This Row],[Part 7]])=0,Table1[[#This Row],[Part 7]],"")</f>
        <v/>
      </c>
    </row>
    <row r="53" spans="8:31" x14ac:dyDescent="0.35">
      <c r="H53" t="str">
        <f>_xlfn.CONCAT(Table1[[#This Row],[Eff pt 1]:[Eff pt 7]])</f>
        <v>ICs - Power - Half&amp;H Bridge</v>
      </c>
      <c r="I53" s="6" t="s">
        <v>100</v>
      </c>
      <c r="J53" t="s">
        <v>88</v>
      </c>
      <c r="K53" t="s">
        <v>139</v>
      </c>
      <c r="P53" s="6" t="b">
        <v>0</v>
      </c>
      <c r="Q53" t="b">
        <v>0</v>
      </c>
      <c r="R53" t="b">
        <v>0</v>
      </c>
      <c r="S53" s="5" t="b">
        <v>0</v>
      </c>
      <c r="T53" t="b">
        <v>0</v>
      </c>
      <c r="U53" t="b">
        <v>1</v>
      </c>
      <c r="V53" t="b">
        <v>0</v>
      </c>
      <c r="W53">
        <v>0</v>
      </c>
      <c r="X53" s="6">
        <f>(COUNTIF(Table1[[#This Row],[Spreadsheet]:[Functionality Verified?]],"=TRUE")/7) * 100</f>
        <v>14.285714285714285</v>
      </c>
      <c r="Y53" t="str">
        <f>IF(COUNTBLANK(Table1[[#This Row],[Part 2]])=0,_xlfn.CONCAT(Table1[[#This Row],[Part 1]]," - "),IF(COUNTBLANK(Table1[[#This Row],[Part 1]])=0,Table1[[#This Row],[Part 1]],""))</f>
        <v xml:space="preserve">ICs - </v>
      </c>
      <c r="Z53" t="str">
        <f>IF(COUNTBLANK(Table1[[#This Row],[Part 3]])=0,_xlfn.CONCAT(Table1[[#This Row],[Part 2]]," - "),IF(COUNTBLANK(Table1[[#This Row],[Part 2]])=0,Table1[[#This Row],[Part 2]],""))</f>
        <v xml:space="preserve">Power - </v>
      </c>
      <c r="AA53" t="str">
        <f>IF(COUNTBLANK(Table1[[#This Row],[Part 4]])=0,_xlfn.CONCAT(Table1[[#This Row],[Part 3]]," - "),IF(COUNTBLANK(Table1[[#This Row],[Part 3]])=0,Table1[[#This Row],[Part 3]],""))</f>
        <v>Half&amp;H Bridge</v>
      </c>
      <c r="AB53" t="str">
        <f>IF(COUNTBLANK(Table1[[#This Row],[Part 5]])=0,_xlfn.CONCAT(Table1[[#This Row],[Part 4]]," - "),IF(COUNTBLANK(Table1[[#This Row],[Part 4]])=0,Table1[[#This Row],[Part 4]],""))</f>
        <v/>
      </c>
      <c r="AC53" t="str">
        <f>IF(COUNTBLANK(Table1[[#This Row],[Part 6]])=0,_xlfn.CONCAT(Table1[[#This Row],[Part 5]]," - "),IF(COUNTBLANK(Table1[[#This Row],[Part 5]])=0,Table1[[#This Row],[Part 5]],""))</f>
        <v/>
      </c>
      <c r="AD53" t="str">
        <f>IF(COUNTBLANK(Table1[[#This Row],[Part 7]])=0,_xlfn.CONCAT(Table1[[#This Row],[Part 6]]," - "),IF(COUNTBLANK(Table1[[#This Row],[Part 6]])=0,Table1[[#This Row],[Part 6]],""))</f>
        <v/>
      </c>
      <c r="AE53" t="str">
        <f>IF(COUNTBLANK(Table1[[#This Row],[Part 7]])=0,Table1[[#This Row],[Part 7]],"")</f>
        <v/>
      </c>
    </row>
    <row r="54" spans="8:31" x14ac:dyDescent="0.35">
      <c r="H54" t="str">
        <f>_xlfn.CONCAT(Table1[[#This Row],[Eff pt 1]:[Eff pt 7]])</f>
        <v>ICs - Power - Gate Driver - Non Isolated</v>
      </c>
      <c r="I54" s="6" t="s">
        <v>100</v>
      </c>
      <c r="J54" t="s">
        <v>88</v>
      </c>
      <c r="K54" t="s">
        <v>101</v>
      </c>
      <c r="L54" t="s">
        <v>102</v>
      </c>
      <c r="P54" s="6" t="b">
        <v>0</v>
      </c>
      <c r="Q54" t="b">
        <v>0</v>
      </c>
      <c r="R54" t="b">
        <v>0</v>
      </c>
      <c r="S54" s="5" t="b">
        <v>0</v>
      </c>
      <c r="T54" t="b">
        <v>0</v>
      </c>
      <c r="U54" t="b">
        <v>1</v>
      </c>
      <c r="V54" t="b">
        <v>0</v>
      </c>
      <c r="W54">
        <v>0</v>
      </c>
      <c r="X54" s="6">
        <f>(COUNTIF(Table1[[#This Row],[Spreadsheet]:[Functionality Verified?]],"=TRUE")/7) * 100</f>
        <v>14.285714285714285</v>
      </c>
      <c r="Y54" t="str">
        <f>IF(COUNTBLANK(Table1[[#This Row],[Part 2]])=0,_xlfn.CONCAT(Table1[[#This Row],[Part 1]]," - "),IF(COUNTBLANK(Table1[[#This Row],[Part 1]])=0,Table1[[#This Row],[Part 1]],""))</f>
        <v xml:space="preserve">ICs - </v>
      </c>
      <c r="Z54" t="str">
        <f>IF(COUNTBLANK(Table1[[#This Row],[Part 3]])=0,_xlfn.CONCAT(Table1[[#This Row],[Part 2]]," - "),IF(COUNTBLANK(Table1[[#This Row],[Part 2]])=0,Table1[[#This Row],[Part 2]],""))</f>
        <v xml:space="preserve">Power - </v>
      </c>
      <c r="AA54" t="str">
        <f>IF(COUNTBLANK(Table1[[#This Row],[Part 4]])=0,_xlfn.CONCAT(Table1[[#This Row],[Part 3]]," - "),IF(COUNTBLANK(Table1[[#This Row],[Part 3]])=0,Table1[[#This Row],[Part 3]],""))</f>
        <v xml:space="preserve">Gate Driver - </v>
      </c>
      <c r="AB54" t="str">
        <f>IF(COUNTBLANK(Table1[[#This Row],[Part 5]])=0,_xlfn.CONCAT(Table1[[#This Row],[Part 4]]," - "),IF(COUNTBLANK(Table1[[#This Row],[Part 4]])=0,Table1[[#This Row],[Part 4]],""))</f>
        <v>Non Isolated</v>
      </c>
      <c r="AC54" t="str">
        <f>IF(COUNTBLANK(Table1[[#This Row],[Part 6]])=0,_xlfn.CONCAT(Table1[[#This Row],[Part 5]]," - "),IF(COUNTBLANK(Table1[[#This Row],[Part 5]])=0,Table1[[#This Row],[Part 5]],""))</f>
        <v/>
      </c>
      <c r="AD54" t="str">
        <f>IF(COUNTBLANK(Table1[[#This Row],[Part 7]])=0,_xlfn.CONCAT(Table1[[#This Row],[Part 6]]," - "),IF(COUNTBLANK(Table1[[#This Row],[Part 6]])=0,Table1[[#This Row],[Part 6]],""))</f>
        <v/>
      </c>
      <c r="AE54" t="str">
        <f>IF(COUNTBLANK(Table1[[#This Row],[Part 7]])=0,Table1[[#This Row],[Part 7]],"")</f>
        <v/>
      </c>
    </row>
    <row r="55" spans="8:31" x14ac:dyDescent="0.35">
      <c r="H55" t="str">
        <f>_xlfn.CONCAT(Table1[[#This Row],[Eff pt 1]:[Eff pt 7]])</f>
        <v>ICs - Power - Gate Driver - Isolated</v>
      </c>
      <c r="I55" s="6" t="s">
        <v>100</v>
      </c>
      <c r="J55" t="s">
        <v>88</v>
      </c>
      <c r="K55" t="s">
        <v>101</v>
      </c>
      <c r="L55" t="s">
        <v>84</v>
      </c>
      <c r="P55" s="6" t="b">
        <v>0</v>
      </c>
      <c r="Q55" t="b">
        <v>0</v>
      </c>
      <c r="R55" t="b">
        <v>0</v>
      </c>
      <c r="S55" s="5" t="b">
        <v>0</v>
      </c>
      <c r="T55" t="b">
        <v>0</v>
      </c>
      <c r="U55" t="b">
        <v>1</v>
      </c>
      <c r="V55" t="b">
        <v>0</v>
      </c>
      <c r="W55">
        <v>0</v>
      </c>
      <c r="X55" s="6">
        <f>(COUNTIF(Table1[[#This Row],[Spreadsheet]:[Functionality Verified?]],"=TRUE")/7) * 100</f>
        <v>14.285714285714285</v>
      </c>
      <c r="Y55" t="str">
        <f>IF(COUNTBLANK(Table1[[#This Row],[Part 2]])=0,_xlfn.CONCAT(Table1[[#This Row],[Part 1]]," - "),IF(COUNTBLANK(Table1[[#This Row],[Part 1]])=0,Table1[[#This Row],[Part 1]],""))</f>
        <v xml:space="preserve">ICs - </v>
      </c>
      <c r="Z55" t="str">
        <f>IF(COUNTBLANK(Table1[[#This Row],[Part 3]])=0,_xlfn.CONCAT(Table1[[#This Row],[Part 2]]," - "),IF(COUNTBLANK(Table1[[#This Row],[Part 2]])=0,Table1[[#This Row],[Part 2]],""))</f>
        <v xml:space="preserve">Power - </v>
      </c>
      <c r="AA55" t="str">
        <f>IF(COUNTBLANK(Table1[[#This Row],[Part 4]])=0,_xlfn.CONCAT(Table1[[#This Row],[Part 3]]," - "),IF(COUNTBLANK(Table1[[#This Row],[Part 3]])=0,Table1[[#This Row],[Part 3]],""))</f>
        <v xml:space="preserve">Gate Driver - </v>
      </c>
      <c r="AB55" t="str">
        <f>IF(COUNTBLANK(Table1[[#This Row],[Part 5]])=0,_xlfn.CONCAT(Table1[[#This Row],[Part 4]]," - "),IF(COUNTBLANK(Table1[[#This Row],[Part 4]])=0,Table1[[#This Row],[Part 4]],""))</f>
        <v>Isolated</v>
      </c>
      <c r="AC55" t="str">
        <f>IF(COUNTBLANK(Table1[[#This Row],[Part 6]])=0,_xlfn.CONCAT(Table1[[#This Row],[Part 5]]," - "),IF(COUNTBLANK(Table1[[#This Row],[Part 5]])=0,Table1[[#This Row],[Part 5]],""))</f>
        <v/>
      </c>
      <c r="AD55" t="str">
        <f>IF(COUNTBLANK(Table1[[#This Row],[Part 7]])=0,_xlfn.CONCAT(Table1[[#This Row],[Part 6]]," - "),IF(COUNTBLANK(Table1[[#This Row],[Part 6]])=0,Table1[[#This Row],[Part 6]],""))</f>
        <v/>
      </c>
      <c r="AE55" t="str">
        <f>IF(COUNTBLANK(Table1[[#This Row],[Part 7]])=0,Table1[[#This Row],[Part 7]],"")</f>
        <v/>
      </c>
    </row>
    <row r="56" spans="8:31" x14ac:dyDescent="0.35">
      <c r="H56" t="str">
        <f>_xlfn.CONCAT(Table1[[#This Row],[Eff pt 1]:[Eff pt 7]])</f>
        <v>ICs - Memory - FLASH</v>
      </c>
      <c r="I56" s="6" t="s">
        <v>100</v>
      </c>
      <c r="J56" t="s">
        <v>110</v>
      </c>
      <c r="K56" t="s">
        <v>204</v>
      </c>
      <c r="P56" s="6" t="b">
        <v>1</v>
      </c>
      <c r="Q56" t="b">
        <v>1</v>
      </c>
      <c r="R56" t="b">
        <v>1</v>
      </c>
      <c r="S56" s="5" t="b">
        <v>1</v>
      </c>
      <c r="T56" t="b">
        <v>1</v>
      </c>
      <c r="U56" t="b">
        <v>1</v>
      </c>
      <c r="V56" t="s">
        <v>184</v>
      </c>
      <c r="W56">
        <v>0</v>
      </c>
      <c r="X56" s="6">
        <f>(COUNTIF(Table1[[#This Row],[Spreadsheet]:[Functionality Verified?]],"=TRUE")/7) * 100</f>
        <v>85.714285714285708</v>
      </c>
      <c r="Y56" t="str">
        <f>IF(COUNTBLANK(Table1[[#This Row],[Part 2]])=0,_xlfn.CONCAT(Table1[[#This Row],[Part 1]]," - "),IF(COUNTBLANK(Table1[[#This Row],[Part 1]])=0,Table1[[#This Row],[Part 1]],""))</f>
        <v xml:space="preserve">ICs - </v>
      </c>
      <c r="Z56" t="str">
        <f>IF(COUNTBLANK(Table1[[#This Row],[Part 3]])=0,_xlfn.CONCAT(Table1[[#This Row],[Part 2]]," - "),IF(COUNTBLANK(Table1[[#This Row],[Part 2]])=0,Table1[[#This Row],[Part 2]],""))</f>
        <v xml:space="preserve">Memory - </v>
      </c>
      <c r="AA56" t="str">
        <f>IF(COUNTBLANK(Table1[[#This Row],[Part 4]])=0,_xlfn.CONCAT(Table1[[#This Row],[Part 3]]," - "),IF(COUNTBLANK(Table1[[#This Row],[Part 3]])=0,Table1[[#This Row],[Part 3]],""))</f>
        <v>FLASH</v>
      </c>
      <c r="AB56" t="str">
        <f>IF(COUNTBLANK(Table1[[#This Row],[Part 5]])=0,_xlfn.CONCAT(Table1[[#This Row],[Part 4]]," - "),IF(COUNTBLANK(Table1[[#This Row],[Part 4]])=0,Table1[[#This Row],[Part 4]],""))</f>
        <v/>
      </c>
      <c r="AC56" t="str">
        <f>IF(COUNTBLANK(Table1[[#This Row],[Part 6]])=0,_xlfn.CONCAT(Table1[[#This Row],[Part 5]]," - "),IF(COUNTBLANK(Table1[[#This Row],[Part 5]])=0,Table1[[#This Row],[Part 5]],""))</f>
        <v/>
      </c>
      <c r="AD56" t="str">
        <f>IF(COUNTBLANK(Table1[[#This Row],[Part 7]])=0,_xlfn.CONCAT(Table1[[#This Row],[Part 6]]," - "),IF(COUNTBLANK(Table1[[#This Row],[Part 6]])=0,Table1[[#This Row],[Part 6]],""))</f>
        <v/>
      </c>
      <c r="AE56" t="str">
        <f>IF(COUNTBLANK(Table1[[#This Row],[Part 7]])=0,Table1[[#This Row],[Part 7]],"")</f>
        <v/>
      </c>
    </row>
    <row r="57" spans="8:31" x14ac:dyDescent="0.35">
      <c r="H57" t="str">
        <f>_xlfn.CONCAT(Table1[[#This Row],[Eff pt 1]:[Eff pt 7]])</f>
        <v>ICs - Memory - EEPROM</v>
      </c>
      <c r="I57" s="6" t="s">
        <v>100</v>
      </c>
      <c r="J57" t="s">
        <v>110</v>
      </c>
      <c r="K57" t="s">
        <v>111</v>
      </c>
      <c r="P57" s="6" t="b">
        <v>1</v>
      </c>
      <c r="Q57" t="b">
        <v>1</v>
      </c>
      <c r="R57" t="b">
        <v>1</v>
      </c>
      <c r="S57" s="5" t="b">
        <v>1</v>
      </c>
      <c r="T57" t="b">
        <v>1</v>
      </c>
      <c r="U57" t="b">
        <v>1</v>
      </c>
      <c r="V57" t="s">
        <v>184</v>
      </c>
      <c r="W57">
        <v>0</v>
      </c>
      <c r="X57" s="6">
        <f>(COUNTIF(Table1[[#This Row],[Spreadsheet]:[Functionality Verified?]],"=TRUE")/7) * 100</f>
        <v>85.714285714285708</v>
      </c>
      <c r="Y57" t="str">
        <f>IF(COUNTBLANK(Table1[[#This Row],[Part 2]])=0,_xlfn.CONCAT(Table1[[#This Row],[Part 1]]," - "),IF(COUNTBLANK(Table1[[#This Row],[Part 1]])=0,Table1[[#This Row],[Part 1]],""))</f>
        <v xml:space="preserve">ICs - </v>
      </c>
      <c r="Z57" t="str">
        <f>IF(COUNTBLANK(Table1[[#This Row],[Part 3]])=0,_xlfn.CONCAT(Table1[[#This Row],[Part 2]]," - "),IF(COUNTBLANK(Table1[[#This Row],[Part 2]])=0,Table1[[#This Row],[Part 2]],""))</f>
        <v xml:space="preserve">Memory - </v>
      </c>
      <c r="AA57" t="str">
        <f>IF(COUNTBLANK(Table1[[#This Row],[Part 4]])=0,_xlfn.CONCAT(Table1[[#This Row],[Part 3]]," - "),IF(COUNTBLANK(Table1[[#This Row],[Part 3]])=0,Table1[[#This Row],[Part 3]],""))</f>
        <v>EEPROM</v>
      </c>
      <c r="AB57" t="str">
        <f>IF(COUNTBLANK(Table1[[#This Row],[Part 5]])=0,_xlfn.CONCAT(Table1[[#This Row],[Part 4]]," - "),IF(COUNTBLANK(Table1[[#This Row],[Part 4]])=0,Table1[[#This Row],[Part 4]],""))</f>
        <v/>
      </c>
      <c r="AC57" t="str">
        <f>IF(COUNTBLANK(Table1[[#This Row],[Part 6]])=0,_xlfn.CONCAT(Table1[[#This Row],[Part 5]]," - "),IF(COUNTBLANK(Table1[[#This Row],[Part 5]])=0,Table1[[#This Row],[Part 5]],""))</f>
        <v/>
      </c>
      <c r="AD57" t="str">
        <f>IF(COUNTBLANK(Table1[[#This Row],[Part 7]])=0,_xlfn.CONCAT(Table1[[#This Row],[Part 6]]," - "),IF(COUNTBLANK(Table1[[#This Row],[Part 6]])=0,Table1[[#This Row],[Part 6]],""))</f>
        <v/>
      </c>
      <c r="AE57" t="str">
        <f>IF(COUNTBLANK(Table1[[#This Row],[Part 7]])=0,Table1[[#This Row],[Part 7]],"")</f>
        <v/>
      </c>
    </row>
    <row r="58" spans="8:31" x14ac:dyDescent="0.35">
      <c r="H58" t="str">
        <f>_xlfn.CONCAT(Table1[[#This Row],[Eff pt 1]:[Eff pt 7]])</f>
        <v>ICs - Memory - DRAM</v>
      </c>
      <c r="I58" s="6" t="s">
        <v>100</v>
      </c>
      <c r="J58" t="s">
        <v>110</v>
      </c>
      <c r="K58" t="s">
        <v>113</v>
      </c>
      <c r="P58" s="6" t="b">
        <v>0</v>
      </c>
      <c r="Q58" t="b">
        <v>0</v>
      </c>
      <c r="R58" t="b">
        <v>0</v>
      </c>
      <c r="S58" s="5" t="b">
        <v>0</v>
      </c>
      <c r="T58" t="b">
        <v>0</v>
      </c>
      <c r="U58" t="b">
        <v>1</v>
      </c>
      <c r="V58" t="b">
        <v>0</v>
      </c>
      <c r="W58">
        <v>0</v>
      </c>
      <c r="X58" s="6">
        <f>(COUNTIF(Table1[[#This Row],[Spreadsheet]:[Functionality Verified?]],"=TRUE")/7) * 100</f>
        <v>14.285714285714285</v>
      </c>
      <c r="Y58" t="str">
        <f>IF(COUNTBLANK(Table1[[#This Row],[Part 2]])=0,_xlfn.CONCAT(Table1[[#This Row],[Part 1]]," - "),IF(COUNTBLANK(Table1[[#This Row],[Part 1]])=0,Table1[[#This Row],[Part 1]],""))</f>
        <v xml:space="preserve">ICs - </v>
      </c>
      <c r="Z58" t="str">
        <f>IF(COUNTBLANK(Table1[[#This Row],[Part 3]])=0,_xlfn.CONCAT(Table1[[#This Row],[Part 2]]," - "),IF(COUNTBLANK(Table1[[#This Row],[Part 2]])=0,Table1[[#This Row],[Part 2]],""))</f>
        <v xml:space="preserve">Memory - </v>
      </c>
      <c r="AA58" t="str">
        <f>IF(COUNTBLANK(Table1[[#This Row],[Part 4]])=0,_xlfn.CONCAT(Table1[[#This Row],[Part 3]]," - "),IF(COUNTBLANK(Table1[[#This Row],[Part 3]])=0,Table1[[#This Row],[Part 3]],""))</f>
        <v>DRAM</v>
      </c>
      <c r="AB58" t="str">
        <f>IF(COUNTBLANK(Table1[[#This Row],[Part 5]])=0,_xlfn.CONCAT(Table1[[#This Row],[Part 4]]," - "),IF(COUNTBLANK(Table1[[#This Row],[Part 4]])=0,Table1[[#This Row],[Part 4]],""))</f>
        <v/>
      </c>
      <c r="AC58" t="str">
        <f>IF(COUNTBLANK(Table1[[#This Row],[Part 6]])=0,_xlfn.CONCAT(Table1[[#This Row],[Part 5]]," - "),IF(COUNTBLANK(Table1[[#This Row],[Part 5]])=0,Table1[[#This Row],[Part 5]],""))</f>
        <v/>
      </c>
      <c r="AD58" t="str">
        <f>IF(COUNTBLANK(Table1[[#This Row],[Part 7]])=0,_xlfn.CONCAT(Table1[[#This Row],[Part 6]]," - "),IF(COUNTBLANK(Table1[[#This Row],[Part 6]])=0,Table1[[#This Row],[Part 6]],""))</f>
        <v/>
      </c>
      <c r="AE58" t="str">
        <f>IF(COUNTBLANK(Table1[[#This Row],[Part 7]])=0,Table1[[#This Row],[Part 7]],"")</f>
        <v/>
      </c>
    </row>
    <row r="59" spans="8:31" x14ac:dyDescent="0.35">
      <c r="H59" t="str">
        <f>_xlfn.CONCAT(Table1[[#This Row],[Eff pt 1]:[Eff pt 7]])</f>
        <v>ICs - Logic - Translators</v>
      </c>
      <c r="I59" s="6" t="s">
        <v>100</v>
      </c>
      <c r="J59" t="s">
        <v>118</v>
      </c>
      <c r="K59" t="s">
        <v>176</v>
      </c>
      <c r="P59" s="6" t="b">
        <v>0</v>
      </c>
      <c r="Q59" t="b">
        <v>0</v>
      </c>
      <c r="R59" t="b">
        <v>0</v>
      </c>
      <c r="S59" s="5" t="b">
        <v>0</v>
      </c>
      <c r="T59" t="b">
        <v>0</v>
      </c>
      <c r="U59" t="b">
        <v>1</v>
      </c>
      <c r="V59" t="b">
        <v>0</v>
      </c>
      <c r="W59">
        <v>0</v>
      </c>
      <c r="X59" s="6">
        <f>(COUNTIF(Table1[[#This Row],[Spreadsheet]:[Functionality Verified?]],"=TRUE")/7) * 100</f>
        <v>14.285714285714285</v>
      </c>
      <c r="Y59" t="str">
        <f>IF(COUNTBLANK(Table1[[#This Row],[Part 2]])=0,_xlfn.CONCAT(Table1[[#This Row],[Part 1]]," - "),IF(COUNTBLANK(Table1[[#This Row],[Part 1]])=0,Table1[[#This Row],[Part 1]],""))</f>
        <v xml:space="preserve">ICs - </v>
      </c>
      <c r="Z59" t="str">
        <f>IF(COUNTBLANK(Table1[[#This Row],[Part 3]])=0,_xlfn.CONCAT(Table1[[#This Row],[Part 2]]," - "),IF(COUNTBLANK(Table1[[#This Row],[Part 2]])=0,Table1[[#This Row],[Part 2]],""))</f>
        <v xml:space="preserve">Logic - </v>
      </c>
      <c r="AA59" t="str">
        <f>IF(COUNTBLANK(Table1[[#This Row],[Part 4]])=0,_xlfn.CONCAT(Table1[[#This Row],[Part 3]]," - "),IF(COUNTBLANK(Table1[[#This Row],[Part 3]])=0,Table1[[#This Row],[Part 3]],""))</f>
        <v>Translators</v>
      </c>
      <c r="AB59" t="str">
        <f>IF(COUNTBLANK(Table1[[#This Row],[Part 5]])=0,_xlfn.CONCAT(Table1[[#This Row],[Part 4]]," - "),IF(COUNTBLANK(Table1[[#This Row],[Part 4]])=0,Table1[[#This Row],[Part 4]],""))</f>
        <v/>
      </c>
      <c r="AC59" t="str">
        <f>IF(COUNTBLANK(Table1[[#This Row],[Part 6]])=0,_xlfn.CONCAT(Table1[[#This Row],[Part 5]]," - "),IF(COUNTBLANK(Table1[[#This Row],[Part 5]])=0,Table1[[#This Row],[Part 5]],""))</f>
        <v/>
      </c>
      <c r="AD59" t="str">
        <f>IF(COUNTBLANK(Table1[[#This Row],[Part 7]])=0,_xlfn.CONCAT(Table1[[#This Row],[Part 6]]," - "),IF(COUNTBLANK(Table1[[#This Row],[Part 6]])=0,Table1[[#This Row],[Part 6]],""))</f>
        <v/>
      </c>
      <c r="AE59" t="str">
        <f>IF(COUNTBLANK(Table1[[#This Row],[Part 7]])=0,Table1[[#This Row],[Part 7]],"")</f>
        <v/>
      </c>
    </row>
    <row r="60" spans="8:31" x14ac:dyDescent="0.35">
      <c r="H60" t="str">
        <f>_xlfn.CONCAT(Table1[[#This Row],[Eff pt 1]:[Eff pt 7]])</f>
        <v>ICs - Logic - Switch - Digital</v>
      </c>
      <c r="I60" s="6" t="s">
        <v>100</v>
      </c>
      <c r="J60" t="s">
        <v>118</v>
      </c>
      <c r="K60" t="s">
        <v>173</v>
      </c>
      <c r="L60" t="s">
        <v>98</v>
      </c>
      <c r="P60" s="6" t="b">
        <v>0</v>
      </c>
      <c r="Q60" t="b">
        <v>0</v>
      </c>
      <c r="R60" t="b">
        <v>0</v>
      </c>
      <c r="S60" s="5" t="b">
        <v>0</v>
      </c>
      <c r="T60" t="b">
        <v>0</v>
      </c>
      <c r="U60" t="b">
        <v>1</v>
      </c>
      <c r="V60" t="b">
        <v>0</v>
      </c>
      <c r="W60">
        <v>0</v>
      </c>
      <c r="X60" s="6">
        <f>(COUNTIF(Table1[[#This Row],[Spreadsheet]:[Functionality Verified?]],"=TRUE")/7) * 100</f>
        <v>14.285714285714285</v>
      </c>
      <c r="Y60" t="str">
        <f>IF(COUNTBLANK(Table1[[#This Row],[Part 2]])=0,_xlfn.CONCAT(Table1[[#This Row],[Part 1]]," - "),IF(COUNTBLANK(Table1[[#This Row],[Part 1]])=0,Table1[[#This Row],[Part 1]],""))</f>
        <v xml:space="preserve">ICs - </v>
      </c>
      <c r="Z60" t="str">
        <f>IF(COUNTBLANK(Table1[[#This Row],[Part 3]])=0,_xlfn.CONCAT(Table1[[#This Row],[Part 2]]," - "),IF(COUNTBLANK(Table1[[#This Row],[Part 2]])=0,Table1[[#This Row],[Part 2]],""))</f>
        <v xml:space="preserve">Logic - </v>
      </c>
      <c r="AA60" t="str">
        <f>IF(COUNTBLANK(Table1[[#This Row],[Part 4]])=0,_xlfn.CONCAT(Table1[[#This Row],[Part 3]]," - "),IF(COUNTBLANK(Table1[[#This Row],[Part 3]])=0,Table1[[#This Row],[Part 3]],""))</f>
        <v xml:space="preserve">Switch - </v>
      </c>
      <c r="AB60" t="str">
        <f>IF(COUNTBLANK(Table1[[#This Row],[Part 5]])=0,_xlfn.CONCAT(Table1[[#This Row],[Part 4]]," - "),IF(COUNTBLANK(Table1[[#This Row],[Part 4]])=0,Table1[[#This Row],[Part 4]],""))</f>
        <v>Digital</v>
      </c>
      <c r="AC60" t="str">
        <f>IF(COUNTBLANK(Table1[[#This Row],[Part 6]])=0,_xlfn.CONCAT(Table1[[#This Row],[Part 5]]," - "),IF(COUNTBLANK(Table1[[#This Row],[Part 5]])=0,Table1[[#This Row],[Part 5]],""))</f>
        <v/>
      </c>
      <c r="AD60" t="str">
        <f>IF(COUNTBLANK(Table1[[#This Row],[Part 7]])=0,_xlfn.CONCAT(Table1[[#This Row],[Part 6]]," - "),IF(COUNTBLANK(Table1[[#This Row],[Part 6]])=0,Table1[[#This Row],[Part 6]],""))</f>
        <v/>
      </c>
      <c r="AE60" t="str">
        <f>IF(COUNTBLANK(Table1[[#This Row],[Part 7]])=0,Table1[[#This Row],[Part 7]],"")</f>
        <v/>
      </c>
    </row>
    <row r="61" spans="8:31" x14ac:dyDescent="0.35">
      <c r="H61" t="str">
        <f>_xlfn.CONCAT(Table1[[#This Row],[Eff pt 1]:[Eff pt 7]])</f>
        <v>ICs - Logic - Shift Registers - SIPO</v>
      </c>
      <c r="I61" s="6" t="s">
        <v>100</v>
      </c>
      <c r="J61" t="s">
        <v>118</v>
      </c>
      <c r="K61" t="s">
        <v>170</v>
      </c>
      <c r="L61" t="s">
        <v>171</v>
      </c>
      <c r="P61" s="6" t="b">
        <v>0</v>
      </c>
      <c r="Q61" t="b">
        <v>0</v>
      </c>
      <c r="R61" t="b">
        <v>0</v>
      </c>
      <c r="S61" s="5" t="b">
        <v>0</v>
      </c>
      <c r="T61" t="b">
        <v>0</v>
      </c>
      <c r="U61" t="b">
        <v>1</v>
      </c>
      <c r="V61" t="b">
        <v>0</v>
      </c>
      <c r="W61">
        <v>0</v>
      </c>
      <c r="X61" s="6">
        <f>(COUNTIF(Table1[[#This Row],[Spreadsheet]:[Functionality Verified?]],"=TRUE")/7) * 100</f>
        <v>14.285714285714285</v>
      </c>
      <c r="Y61" t="str">
        <f>IF(COUNTBLANK(Table1[[#This Row],[Part 2]])=0,_xlfn.CONCAT(Table1[[#This Row],[Part 1]]," - "),IF(COUNTBLANK(Table1[[#This Row],[Part 1]])=0,Table1[[#This Row],[Part 1]],""))</f>
        <v xml:space="preserve">ICs - </v>
      </c>
      <c r="Z61" t="str">
        <f>IF(COUNTBLANK(Table1[[#This Row],[Part 3]])=0,_xlfn.CONCAT(Table1[[#This Row],[Part 2]]," - "),IF(COUNTBLANK(Table1[[#This Row],[Part 2]])=0,Table1[[#This Row],[Part 2]],""))</f>
        <v xml:space="preserve">Logic - </v>
      </c>
      <c r="AA61" t="str">
        <f>IF(COUNTBLANK(Table1[[#This Row],[Part 4]])=0,_xlfn.CONCAT(Table1[[#This Row],[Part 3]]," - "),IF(COUNTBLANK(Table1[[#This Row],[Part 3]])=0,Table1[[#This Row],[Part 3]],""))</f>
        <v xml:space="preserve">Shift Registers - </v>
      </c>
      <c r="AB61" t="str">
        <f>IF(COUNTBLANK(Table1[[#This Row],[Part 5]])=0,_xlfn.CONCAT(Table1[[#This Row],[Part 4]]," - "),IF(COUNTBLANK(Table1[[#This Row],[Part 4]])=0,Table1[[#This Row],[Part 4]],""))</f>
        <v>SIPO</v>
      </c>
      <c r="AC61" t="str">
        <f>IF(COUNTBLANK(Table1[[#This Row],[Part 6]])=0,_xlfn.CONCAT(Table1[[#This Row],[Part 5]]," - "),IF(COUNTBLANK(Table1[[#This Row],[Part 5]])=0,Table1[[#This Row],[Part 5]],""))</f>
        <v/>
      </c>
      <c r="AD61" t="str">
        <f>IF(COUNTBLANK(Table1[[#This Row],[Part 7]])=0,_xlfn.CONCAT(Table1[[#This Row],[Part 6]]," - "),IF(COUNTBLANK(Table1[[#This Row],[Part 6]])=0,Table1[[#This Row],[Part 6]],""))</f>
        <v/>
      </c>
      <c r="AE61" t="str">
        <f>IF(COUNTBLANK(Table1[[#This Row],[Part 7]])=0,Table1[[#This Row],[Part 7]],"")</f>
        <v/>
      </c>
    </row>
    <row r="62" spans="8:31" x14ac:dyDescent="0.35">
      <c r="H62" t="str">
        <f>_xlfn.CONCAT(Table1[[#This Row],[Eff pt 1]:[Eff pt 7]])</f>
        <v>ICs - Logic - Shift Registers - PISO</v>
      </c>
      <c r="I62" s="6" t="s">
        <v>100</v>
      </c>
      <c r="J62" t="s">
        <v>118</v>
      </c>
      <c r="K62" t="s">
        <v>170</v>
      </c>
      <c r="L62" t="s">
        <v>172</v>
      </c>
      <c r="P62" s="6" t="b">
        <v>0</v>
      </c>
      <c r="Q62" t="b">
        <v>0</v>
      </c>
      <c r="R62" t="b">
        <v>0</v>
      </c>
      <c r="S62" s="5" t="b">
        <v>0</v>
      </c>
      <c r="T62" t="b">
        <v>0</v>
      </c>
      <c r="U62" t="b">
        <v>1</v>
      </c>
      <c r="V62" t="b">
        <v>0</v>
      </c>
      <c r="W62">
        <v>0</v>
      </c>
      <c r="X62" s="6">
        <f>(COUNTIF(Table1[[#This Row],[Spreadsheet]:[Functionality Verified?]],"=TRUE")/7) * 100</f>
        <v>14.285714285714285</v>
      </c>
      <c r="Y62" t="str">
        <f>IF(COUNTBLANK(Table1[[#This Row],[Part 2]])=0,_xlfn.CONCAT(Table1[[#This Row],[Part 1]]," - "),IF(COUNTBLANK(Table1[[#This Row],[Part 1]])=0,Table1[[#This Row],[Part 1]],""))</f>
        <v xml:space="preserve">ICs - </v>
      </c>
      <c r="Z62" t="str">
        <f>IF(COUNTBLANK(Table1[[#This Row],[Part 3]])=0,_xlfn.CONCAT(Table1[[#This Row],[Part 2]]," - "),IF(COUNTBLANK(Table1[[#This Row],[Part 2]])=0,Table1[[#This Row],[Part 2]],""))</f>
        <v xml:space="preserve">Logic - </v>
      </c>
      <c r="AA62" t="str">
        <f>IF(COUNTBLANK(Table1[[#This Row],[Part 4]])=0,_xlfn.CONCAT(Table1[[#This Row],[Part 3]]," - "),IF(COUNTBLANK(Table1[[#This Row],[Part 3]])=0,Table1[[#This Row],[Part 3]],""))</f>
        <v xml:space="preserve">Shift Registers - </v>
      </c>
      <c r="AB62" t="str">
        <f>IF(COUNTBLANK(Table1[[#This Row],[Part 5]])=0,_xlfn.CONCAT(Table1[[#This Row],[Part 4]]," - "),IF(COUNTBLANK(Table1[[#This Row],[Part 4]])=0,Table1[[#This Row],[Part 4]],""))</f>
        <v>PISO</v>
      </c>
      <c r="AC62" t="str">
        <f>IF(COUNTBLANK(Table1[[#This Row],[Part 6]])=0,_xlfn.CONCAT(Table1[[#This Row],[Part 5]]," - "),IF(COUNTBLANK(Table1[[#This Row],[Part 5]])=0,Table1[[#This Row],[Part 5]],""))</f>
        <v/>
      </c>
      <c r="AD62" t="str">
        <f>IF(COUNTBLANK(Table1[[#This Row],[Part 7]])=0,_xlfn.CONCAT(Table1[[#This Row],[Part 6]]," - "),IF(COUNTBLANK(Table1[[#This Row],[Part 6]])=0,Table1[[#This Row],[Part 6]],""))</f>
        <v/>
      </c>
      <c r="AE62" t="str">
        <f>IF(COUNTBLANK(Table1[[#This Row],[Part 7]])=0,Table1[[#This Row],[Part 7]],"")</f>
        <v/>
      </c>
    </row>
    <row r="63" spans="8:31" x14ac:dyDescent="0.35">
      <c r="H63" t="str">
        <f>_xlfn.CONCAT(Table1[[#This Row],[Eff pt 1]:[Eff pt 7]])</f>
        <v>ICs - Logic - Multivibrators</v>
      </c>
      <c r="I63" s="6" t="s">
        <v>100</v>
      </c>
      <c r="J63" t="s">
        <v>118</v>
      </c>
      <c r="K63" t="s">
        <v>169</v>
      </c>
      <c r="P63" s="6" t="b">
        <v>0</v>
      </c>
      <c r="Q63" t="b">
        <v>0</v>
      </c>
      <c r="R63" t="b">
        <v>0</v>
      </c>
      <c r="S63" s="5" t="b">
        <v>0</v>
      </c>
      <c r="T63" t="b">
        <v>0</v>
      </c>
      <c r="U63" t="b">
        <v>1</v>
      </c>
      <c r="V63" t="b">
        <v>0</v>
      </c>
      <c r="W63">
        <v>0</v>
      </c>
      <c r="X63" s="6">
        <f>(COUNTIF(Table1[[#This Row],[Spreadsheet]:[Functionality Verified?]],"=TRUE")/7) * 100</f>
        <v>14.285714285714285</v>
      </c>
      <c r="Y63" t="str">
        <f>IF(COUNTBLANK(Table1[[#This Row],[Part 2]])=0,_xlfn.CONCAT(Table1[[#This Row],[Part 1]]," - "),IF(COUNTBLANK(Table1[[#This Row],[Part 1]])=0,Table1[[#This Row],[Part 1]],""))</f>
        <v xml:space="preserve">ICs - </v>
      </c>
      <c r="Z63" t="str">
        <f>IF(COUNTBLANK(Table1[[#This Row],[Part 3]])=0,_xlfn.CONCAT(Table1[[#This Row],[Part 2]]," - "),IF(COUNTBLANK(Table1[[#This Row],[Part 2]])=0,Table1[[#This Row],[Part 2]],""))</f>
        <v xml:space="preserve">Logic - </v>
      </c>
      <c r="AA63" t="str">
        <f>IF(COUNTBLANK(Table1[[#This Row],[Part 4]])=0,_xlfn.CONCAT(Table1[[#This Row],[Part 3]]," - "),IF(COUNTBLANK(Table1[[#This Row],[Part 3]])=0,Table1[[#This Row],[Part 3]],""))</f>
        <v>Multivibrators</v>
      </c>
      <c r="AB63" t="str">
        <f>IF(COUNTBLANK(Table1[[#This Row],[Part 5]])=0,_xlfn.CONCAT(Table1[[#This Row],[Part 4]]," - "),IF(COUNTBLANK(Table1[[#This Row],[Part 4]])=0,Table1[[#This Row],[Part 4]],""))</f>
        <v/>
      </c>
      <c r="AC63" t="str">
        <f>IF(COUNTBLANK(Table1[[#This Row],[Part 6]])=0,_xlfn.CONCAT(Table1[[#This Row],[Part 5]]," - "),IF(COUNTBLANK(Table1[[#This Row],[Part 5]])=0,Table1[[#This Row],[Part 5]],""))</f>
        <v/>
      </c>
      <c r="AD63" t="str">
        <f>IF(COUNTBLANK(Table1[[#This Row],[Part 7]])=0,_xlfn.CONCAT(Table1[[#This Row],[Part 6]]," - "),IF(COUNTBLANK(Table1[[#This Row],[Part 6]])=0,Table1[[#This Row],[Part 6]],""))</f>
        <v/>
      </c>
      <c r="AE63" t="str">
        <f>IF(COUNTBLANK(Table1[[#This Row],[Part 7]])=0,Table1[[#This Row],[Part 7]],"")</f>
        <v/>
      </c>
    </row>
    <row r="64" spans="8:31" x14ac:dyDescent="0.35">
      <c r="H64" t="str">
        <f>_xlfn.CONCAT(Table1[[#This Row],[Eff pt 1]:[Eff pt 7]])</f>
        <v>ICs - Logic - Multiplexer - Digital</v>
      </c>
      <c r="I64" s="6" t="s">
        <v>100</v>
      </c>
      <c r="J64" t="s">
        <v>118</v>
      </c>
      <c r="K64" t="s">
        <v>174</v>
      </c>
      <c r="L64" t="s">
        <v>98</v>
      </c>
      <c r="P64" s="6" t="b">
        <v>0</v>
      </c>
      <c r="Q64" t="b">
        <v>0</v>
      </c>
      <c r="R64" t="b">
        <v>0</v>
      </c>
      <c r="S64" s="5" t="b">
        <v>0</v>
      </c>
      <c r="T64" t="b">
        <v>0</v>
      </c>
      <c r="U64" t="b">
        <v>1</v>
      </c>
      <c r="V64" t="b">
        <v>0</v>
      </c>
      <c r="W64">
        <v>0</v>
      </c>
      <c r="X64" s="6">
        <f>(COUNTIF(Table1[[#This Row],[Spreadsheet]:[Functionality Verified?]],"=TRUE")/7) * 100</f>
        <v>14.285714285714285</v>
      </c>
      <c r="Y64" t="str">
        <f>IF(COUNTBLANK(Table1[[#This Row],[Part 2]])=0,_xlfn.CONCAT(Table1[[#This Row],[Part 1]]," - "),IF(COUNTBLANK(Table1[[#This Row],[Part 1]])=0,Table1[[#This Row],[Part 1]],""))</f>
        <v xml:space="preserve">ICs - </v>
      </c>
      <c r="Z64" t="str">
        <f>IF(COUNTBLANK(Table1[[#This Row],[Part 3]])=0,_xlfn.CONCAT(Table1[[#This Row],[Part 2]]," - "),IF(COUNTBLANK(Table1[[#This Row],[Part 2]])=0,Table1[[#This Row],[Part 2]],""))</f>
        <v xml:space="preserve">Logic - </v>
      </c>
      <c r="AA64" t="str">
        <f>IF(COUNTBLANK(Table1[[#This Row],[Part 4]])=0,_xlfn.CONCAT(Table1[[#This Row],[Part 3]]," - "),IF(COUNTBLANK(Table1[[#This Row],[Part 3]])=0,Table1[[#This Row],[Part 3]],""))</f>
        <v xml:space="preserve">Multiplexer - </v>
      </c>
      <c r="AB64" t="str">
        <f>IF(COUNTBLANK(Table1[[#This Row],[Part 5]])=0,_xlfn.CONCAT(Table1[[#This Row],[Part 4]]," - "),IF(COUNTBLANK(Table1[[#This Row],[Part 4]])=0,Table1[[#This Row],[Part 4]],""))</f>
        <v>Digital</v>
      </c>
      <c r="AC64" t="str">
        <f>IF(COUNTBLANK(Table1[[#This Row],[Part 6]])=0,_xlfn.CONCAT(Table1[[#This Row],[Part 5]]," - "),IF(COUNTBLANK(Table1[[#This Row],[Part 5]])=0,Table1[[#This Row],[Part 5]],""))</f>
        <v/>
      </c>
      <c r="AD64" t="str">
        <f>IF(COUNTBLANK(Table1[[#This Row],[Part 7]])=0,_xlfn.CONCAT(Table1[[#This Row],[Part 6]]," - "),IF(COUNTBLANK(Table1[[#This Row],[Part 6]])=0,Table1[[#This Row],[Part 6]],""))</f>
        <v/>
      </c>
      <c r="AE64" t="str">
        <f>IF(COUNTBLANK(Table1[[#This Row],[Part 7]])=0,Table1[[#This Row],[Part 7]],"")</f>
        <v/>
      </c>
    </row>
    <row r="65" spans="8:31" x14ac:dyDescent="0.35">
      <c r="H65" t="str">
        <f>_xlfn.CONCAT(Table1[[#This Row],[Eff pt 1]:[Eff pt 7]])</f>
        <v>ICs - Logic - Level Shifters</v>
      </c>
      <c r="I65" s="6" t="s">
        <v>100</v>
      </c>
      <c r="J65" t="s">
        <v>118</v>
      </c>
      <c r="K65" t="s">
        <v>177</v>
      </c>
      <c r="P65" s="6" t="b">
        <v>0</v>
      </c>
      <c r="Q65" t="b">
        <v>0</v>
      </c>
      <c r="R65" t="b">
        <v>0</v>
      </c>
      <c r="S65" s="5" t="b">
        <v>1</v>
      </c>
      <c r="T65" t="b">
        <v>0</v>
      </c>
      <c r="U65" t="b">
        <v>1</v>
      </c>
      <c r="V65" t="b">
        <v>0</v>
      </c>
      <c r="W65">
        <v>0</v>
      </c>
      <c r="X65" s="6">
        <f>(COUNTIF(Table1[[#This Row],[Spreadsheet]:[Functionality Verified?]],"=TRUE")/7) * 100</f>
        <v>28.571428571428569</v>
      </c>
      <c r="Y65" t="str">
        <f>IF(COUNTBLANK(Table1[[#This Row],[Part 2]])=0,_xlfn.CONCAT(Table1[[#This Row],[Part 1]]," - "),IF(COUNTBLANK(Table1[[#This Row],[Part 1]])=0,Table1[[#This Row],[Part 1]],""))</f>
        <v xml:space="preserve">ICs - </v>
      </c>
      <c r="Z65" t="str">
        <f>IF(COUNTBLANK(Table1[[#This Row],[Part 3]])=0,_xlfn.CONCAT(Table1[[#This Row],[Part 2]]," - "),IF(COUNTBLANK(Table1[[#This Row],[Part 2]])=0,Table1[[#This Row],[Part 2]],""))</f>
        <v xml:space="preserve">Logic - </v>
      </c>
      <c r="AA65" t="str">
        <f>IF(COUNTBLANK(Table1[[#This Row],[Part 4]])=0,_xlfn.CONCAT(Table1[[#This Row],[Part 3]]," - "),IF(COUNTBLANK(Table1[[#This Row],[Part 3]])=0,Table1[[#This Row],[Part 3]],""))</f>
        <v>Level Shifters</v>
      </c>
      <c r="AB65" t="str">
        <f>IF(COUNTBLANK(Table1[[#This Row],[Part 5]])=0,_xlfn.CONCAT(Table1[[#This Row],[Part 4]]," - "),IF(COUNTBLANK(Table1[[#This Row],[Part 4]])=0,Table1[[#This Row],[Part 4]],""))</f>
        <v/>
      </c>
      <c r="AC65" t="str">
        <f>IF(COUNTBLANK(Table1[[#This Row],[Part 6]])=0,_xlfn.CONCAT(Table1[[#This Row],[Part 5]]," - "),IF(COUNTBLANK(Table1[[#This Row],[Part 5]])=0,Table1[[#This Row],[Part 5]],""))</f>
        <v/>
      </c>
      <c r="AD65" t="str">
        <f>IF(COUNTBLANK(Table1[[#This Row],[Part 7]])=0,_xlfn.CONCAT(Table1[[#This Row],[Part 6]]," - "),IF(COUNTBLANK(Table1[[#This Row],[Part 6]])=0,Table1[[#This Row],[Part 6]],""))</f>
        <v/>
      </c>
      <c r="AE65" t="str">
        <f>IF(COUNTBLANK(Table1[[#This Row],[Part 7]])=0,Table1[[#This Row],[Part 7]],"")</f>
        <v/>
      </c>
    </row>
    <row r="66" spans="8:31" x14ac:dyDescent="0.35">
      <c r="H66" t="str">
        <f>_xlfn.CONCAT(Table1[[#This Row],[Eff pt 1]:[Eff pt 7]])</f>
        <v>ICs - Logic - Latches</v>
      </c>
      <c r="I66" s="6" t="s">
        <v>100</v>
      </c>
      <c r="J66" t="s">
        <v>118</v>
      </c>
      <c r="K66" t="s">
        <v>168</v>
      </c>
      <c r="P66" s="6" t="b">
        <v>0</v>
      </c>
      <c r="Q66" t="b">
        <v>0</v>
      </c>
      <c r="R66" t="b">
        <v>0</v>
      </c>
      <c r="S66" s="5" t="b">
        <v>0</v>
      </c>
      <c r="T66" t="b">
        <v>0</v>
      </c>
      <c r="U66" t="b">
        <v>1</v>
      </c>
      <c r="V66" t="b">
        <v>0</v>
      </c>
      <c r="W66">
        <v>0</v>
      </c>
      <c r="X66" s="6">
        <f>(COUNTIF(Table1[[#This Row],[Spreadsheet]:[Functionality Verified?]],"=TRUE")/7) * 100</f>
        <v>14.285714285714285</v>
      </c>
      <c r="Y66" t="str">
        <f>IF(COUNTBLANK(Table1[[#This Row],[Part 2]])=0,_xlfn.CONCAT(Table1[[#This Row],[Part 1]]," - "),IF(COUNTBLANK(Table1[[#This Row],[Part 1]])=0,Table1[[#This Row],[Part 1]],""))</f>
        <v xml:space="preserve">ICs - </v>
      </c>
      <c r="Z66" t="str">
        <f>IF(COUNTBLANK(Table1[[#This Row],[Part 3]])=0,_xlfn.CONCAT(Table1[[#This Row],[Part 2]]," - "),IF(COUNTBLANK(Table1[[#This Row],[Part 2]])=0,Table1[[#This Row],[Part 2]],""))</f>
        <v xml:space="preserve">Logic - </v>
      </c>
      <c r="AA66" t="str">
        <f>IF(COUNTBLANK(Table1[[#This Row],[Part 4]])=0,_xlfn.CONCAT(Table1[[#This Row],[Part 3]]," - "),IF(COUNTBLANK(Table1[[#This Row],[Part 3]])=0,Table1[[#This Row],[Part 3]],""))</f>
        <v>Latches</v>
      </c>
      <c r="AB66" t="str">
        <f>IF(COUNTBLANK(Table1[[#This Row],[Part 5]])=0,_xlfn.CONCAT(Table1[[#This Row],[Part 4]]," - "),IF(COUNTBLANK(Table1[[#This Row],[Part 4]])=0,Table1[[#This Row],[Part 4]],""))</f>
        <v/>
      </c>
      <c r="AC66" t="str">
        <f>IF(COUNTBLANK(Table1[[#This Row],[Part 6]])=0,_xlfn.CONCAT(Table1[[#This Row],[Part 5]]," - "),IF(COUNTBLANK(Table1[[#This Row],[Part 5]])=0,Table1[[#This Row],[Part 5]],""))</f>
        <v/>
      </c>
      <c r="AD66" t="str">
        <f>IF(COUNTBLANK(Table1[[#This Row],[Part 7]])=0,_xlfn.CONCAT(Table1[[#This Row],[Part 6]]," - "),IF(COUNTBLANK(Table1[[#This Row],[Part 6]])=0,Table1[[#This Row],[Part 6]],""))</f>
        <v/>
      </c>
      <c r="AE66" t="str">
        <f>IF(COUNTBLANK(Table1[[#This Row],[Part 7]])=0,Table1[[#This Row],[Part 7]],"")</f>
        <v/>
      </c>
    </row>
    <row r="67" spans="8:31" x14ac:dyDescent="0.35">
      <c r="H67" t="str">
        <f>_xlfn.CONCAT(Table1[[#This Row],[Eff pt 1]:[Eff pt 7]])</f>
        <v>ICs - Logic - Gates</v>
      </c>
      <c r="I67" s="6" t="s">
        <v>100</v>
      </c>
      <c r="J67" t="s">
        <v>118</v>
      </c>
      <c r="K67" t="s">
        <v>167</v>
      </c>
      <c r="P67" s="6" t="b">
        <v>0</v>
      </c>
      <c r="Q67" t="b">
        <v>0</v>
      </c>
      <c r="R67" t="b">
        <v>0</v>
      </c>
      <c r="S67" s="5" t="b">
        <v>0</v>
      </c>
      <c r="T67" t="b">
        <v>0</v>
      </c>
      <c r="U67" t="b">
        <v>1</v>
      </c>
      <c r="V67" t="b">
        <v>0</v>
      </c>
      <c r="W67">
        <v>0</v>
      </c>
      <c r="X67" s="6">
        <f>(COUNTIF(Table1[[#This Row],[Spreadsheet]:[Functionality Verified?]],"=TRUE")/7) * 100</f>
        <v>14.285714285714285</v>
      </c>
      <c r="Y67" t="str">
        <f>IF(COUNTBLANK(Table1[[#This Row],[Part 2]])=0,_xlfn.CONCAT(Table1[[#This Row],[Part 1]]," - "),IF(COUNTBLANK(Table1[[#This Row],[Part 1]])=0,Table1[[#This Row],[Part 1]],""))</f>
        <v xml:space="preserve">ICs - </v>
      </c>
      <c r="Z67" t="str">
        <f>IF(COUNTBLANK(Table1[[#This Row],[Part 3]])=0,_xlfn.CONCAT(Table1[[#This Row],[Part 2]]," - "),IF(COUNTBLANK(Table1[[#This Row],[Part 2]])=0,Table1[[#This Row],[Part 2]],""))</f>
        <v xml:space="preserve">Logic - </v>
      </c>
      <c r="AA67" t="str">
        <f>IF(COUNTBLANK(Table1[[#This Row],[Part 4]])=0,_xlfn.CONCAT(Table1[[#This Row],[Part 3]]," - "),IF(COUNTBLANK(Table1[[#This Row],[Part 3]])=0,Table1[[#This Row],[Part 3]],""))</f>
        <v>Gates</v>
      </c>
      <c r="AB67" t="str">
        <f>IF(COUNTBLANK(Table1[[#This Row],[Part 5]])=0,_xlfn.CONCAT(Table1[[#This Row],[Part 4]]," - "),IF(COUNTBLANK(Table1[[#This Row],[Part 4]])=0,Table1[[#This Row],[Part 4]],""))</f>
        <v/>
      </c>
      <c r="AC67" t="str">
        <f>IF(COUNTBLANK(Table1[[#This Row],[Part 6]])=0,_xlfn.CONCAT(Table1[[#This Row],[Part 5]]," - "),IF(COUNTBLANK(Table1[[#This Row],[Part 5]])=0,Table1[[#This Row],[Part 5]],""))</f>
        <v/>
      </c>
      <c r="AD67" t="str">
        <f>IF(COUNTBLANK(Table1[[#This Row],[Part 7]])=0,_xlfn.CONCAT(Table1[[#This Row],[Part 6]]," - "),IF(COUNTBLANK(Table1[[#This Row],[Part 6]])=0,Table1[[#This Row],[Part 6]],""))</f>
        <v/>
      </c>
      <c r="AE67" t="str">
        <f>IF(COUNTBLANK(Table1[[#This Row],[Part 7]])=0,Table1[[#This Row],[Part 7]],"")</f>
        <v/>
      </c>
    </row>
    <row r="68" spans="8:31" x14ac:dyDescent="0.35">
      <c r="H68" t="str">
        <f>_xlfn.CONCAT(Table1[[#This Row],[Eff pt 1]:[Eff pt 7]])</f>
        <v>ICs - Logic - Flip Flops</v>
      </c>
      <c r="I68" s="6" t="s">
        <v>100</v>
      </c>
      <c r="J68" t="s">
        <v>118</v>
      </c>
      <c r="K68" t="s">
        <v>166</v>
      </c>
      <c r="P68" s="6" t="b">
        <v>0</v>
      </c>
      <c r="Q68" t="b">
        <v>0</v>
      </c>
      <c r="R68" t="b">
        <v>0</v>
      </c>
      <c r="S68" s="5" t="b">
        <v>0</v>
      </c>
      <c r="T68" t="b">
        <v>0</v>
      </c>
      <c r="U68" t="b">
        <v>1</v>
      </c>
      <c r="V68" t="b">
        <v>0</v>
      </c>
      <c r="W68">
        <v>0</v>
      </c>
      <c r="X68" s="6">
        <f>(COUNTIF(Table1[[#This Row],[Spreadsheet]:[Functionality Verified?]],"=TRUE")/7) * 100</f>
        <v>14.285714285714285</v>
      </c>
      <c r="Y68" t="str">
        <f>IF(COUNTBLANK(Table1[[#This Row],[Part 2]])=0,_xlfn.CONCAT(Table1[[#This Row],[Part 1]]," - "),IF(COUNTBLANK(Table1[[#This Row],[Part 1]])=0,Table1[[#This Row],[Part 1]],""))</f>
        <v xml:space="preserve">ICs - </v>
      </c>
      <c r="Z68" t="str">
        <f>IF(COUNTBLANK(Table1[[#This Row],[Part 3]])=0,_xlfn.CONCAT(Table1[[#This Row],[Part 2]]," - "),IF(COUNTBLANK(Table1[[#This Row],[Part 2]])=0,Table1[[#This Row],[Part 2]],""))</f>
        <v xml:space="preserve">Logic - </v>
      </c>
      <c r="AA68" t="str">
        <f>IF(COUNTBLANK(Table1[[#This Row],[Part 4]])=0,_xlfn.CONCAT(Table1[[#This Row],[Part 3]]," - "),IF(COUNTBLANK(Table1[[#This Row],[Part 3]])=0,Table1[[#This Row],[Part 3]],""))</f>
        <v>Flip Flops</v>
      </c>
      <c r="AB68" t="str">
        <f>IF(COUNTBLANK(Table1[[#This Row],[Part 5]])=0,_xlfn.CONCAT(Table1[[#This Row],[Part 4]]," - "),IF(COUNTBLANK(Table1[[#This Row],[Part 4]])=0,Table1[[#This Row],[Part 4]],""))</f>
        <v/>
      </c>
      <c r="AC68" t="str">
        <f>IF(COUNTBLANK(Table1[[#This Row],[Part 6]])=0,_xlfn.CONCAT(Table1[[#This Row],[Part 5]]," - "),IF(COUNTBLANK(Table1[[#This Row],[Part 5]])=0,Table1[[#This Row],[Part 5]],""))</f>
        <v/>
      </c>
      <c r="AD68" t="str">
        <f>IF(COUNTBLANK(Table1[[#This Row],[Part 7]])=0,_xlfn.CONCAT(Table1[[#This Row],[Part 6]]," - "),IF(COUNTBLANK(Table1[[#This Row],[Part 6]])=0,Table1[[#This Row],[Part 6]],""))</f>
        <v/>
      </c>
      <c r="AE68" t="str">
        <f>IF(COUNTBLANK(Table1[[#This Row],[Part 7]])=0,Table1[[#This Row],[Part 7]],"")</f>
        <v/>
      </c>
    </row>
    <row r="69" spans="8:31" x14ac:dyDescent="0.35">
      <c r="H69" t="str">
        <f>_xlfn.CONCAT(Table1[[#This Row],[Eff pt 1]:[Eff pt 7]])</f>
        <v>ICs - Logic - Demultiplexer - Digital</v>
      </c>
      <c r="I69" s="6" t="s">
        <v>100</v>
      </c>
      <c r="J69" t="s">
        <v>118</v>
      </c>
      <c r="K69" t="s">
        <v>175</v>
      </c>
      <c r="L69" t="s">
        <v>98</v>
      </c>
      <c r="P69" s="6" t="b">
        <v>0</v>
      </c>
      <c r="Q69" t="b">
        <v>0</v>
      </c>
      <c r="R69" t="b">
        <v>0</v>
      </c>
      <c r="S69" s="5" t="b">
        <v>0</v>
      </c>
      <c r="T69" t="b">
        <v>0</v>
      </c>
      <c r="U69" t="b">
        <v>1</v>
      </c>
      <c r="V69" t="b">
        <v>0</v>
      </c>
      <c r="W69">
        <v>0</v>
      </c>
      <c r="X69" s="6">
        <f>(COUNTIF(Table1[[#This Row],[Spreadsheet]:[Functionality Verified?]],"=TRUE")/7) * 100</f>
        <v>14.285714285714285</v>
      </c>
      <c r="Y69" t="str">
        <f>IF(COUNTBLANK(Table1[[#This Row],[Part 2]])=0,_xlfn.CONCAT(Table1[[#This Row],[Part 1]]," - "),IF(COUNTBLANK(Table1[[#This Row],[Part 1]])=0,Table1[[#This Row],[Part 1]],""))</f>
        <v xml:space="preserve">ICs - </v>
      </c>
      <c r="Z69" t="str">
        <f>IF(COUNTBLANK(Table1[[#This Row],[Part 3]])=0,_xlfn.CONCAT(Table1[[#This Row],[Part 2]]," - "),IF(COUNTBLANK(Table1[[#This Row],[Part 2]])=0,Table1[[#This Row],[Part 2]],""))</f>
        <v xml:space="preserve">Logic - </v>
      </c>
      <c r="AA69" t="str">
        <f>IF(COUNTBLANK(Table1[[#This Row],[Part 4]])=0,_xlfn.CONCAT(Table1[[#This Row],[Part 3]]," - "),IF(COUNTBLANK(Table1[[#This Row],[Part 3]])=0,Table1[[#This Row],[Part 3]],""))</f>
        <v xml:space="preserve">Demultiplexer - </v>
      </c>
      <c r="AB69" t="str">
        <f>IF(COUNTBLANK(Table1[[#This Row],[Part 5]])=0,_xlfn.CONCAT(Table1[[#This Row],[Part 4]]," - "),IF(COUNTBLANK(Table1[[#This Row],[Part 4]])=0,Table1[[#This Row],[Part 4]],""))</f>
        <v>Digital</v>
      </c>
      <c r="AC69" t="str">
        <f>IF(COUNTBLANK(Table1[[#This Row],[Part 6]])=0,_xlfn.CONCAT(Table1[[#This Row],[Part 5]]," - "),IF(COUNTBLANK(Table1[[#This Row],[Part 5]])=0,Table1[[#This Row],[Part 5]],""))</f>
        <v/>
      </c>
      <c r="AD69" t="str">
        <f>IF(COUNTBLANK(Table1[[#This Row],[Part 7]])=0,_xlfn.CONCAT(Table1[[#This Row],[Part 6]]," - "),IF(COUNTBLANK(Table1[[#This Row],[Part 6]])=0,Table1[[#This Row],[Part 6]],""))</f>
        <v/>
      </c>
      <c r="AE69" t="str">
        <f>IF(COUNTBLANK(Table1[[#This Row],[Part 7]])=0,Table1[[#This Row],[Part 7]],"")</f>
        <v/>
      </c>
    </row>
    <row r="70" spans="8:31" x14ac:dyDescent="0.35">
      <c r="H70" t="str">
        <f>_xlfn.CONCAT(Table1[[#This Row],[Eff pt 1]:[Eff pt 7]])</f>
        <v>ICs - Logic - Counter - Up&amp;Down</v>
      </c>
      <c r="I70" s="6" t="s">
        <v>100</v>
      </c>
      <c r="J70" t="s">
        <v>118</v>
      </c>
      <c r="K70" t="s">
        <v>163</v>
      </c>
      <c r="L70" t="s">
        <v>165</v>
      </c>
      <c r="P70" s="6" t="b">
        <v>0</v>
      </c>
      <c r="Q70" t="b">
        <v>0</v>
      </c>
      <c r="R70" t="b">
        <v>0</v>
      </c>
      <c r="S70" s="5" t="b">
        <v>0</v>
      </c>
      <c r="T70" t="b">
        <v>0</v>
      </c>
      <c r="U70" t="b">
        <v>1</v>
      </c>
      <c r="V70" t="b">
        <v>0</v>
      </c>
      <c r="W70">
        <v>0</v>
      </c>
      <c r="X70" s="6">
        <f>(COUNTIF(Table1[[#This Row],[Spreadsheet]:[Functionality Verified?]],"=TRUE")/7) * 100</f>
        <v>14.285714285714285</v>
      </c>
      <c r="Y70" t="str">
        <f>IF(COUNTBLANK(Table1[[#This Row],[Part 2]])=0,_xlfn.CONCAT(Table1[[#This Row],[Part 1]]," - "),IF(COUNTBLANK(Table1[[#This Row],[Part 1]])=0,Table1[[#This Row],[Part 1]],""))</f>
        <v xml:space="preserve">ICs - </v>
      </c>
      <c r="Z70" t="str">
        <f>IF(COUNTBLANK(Table1[[#This Row],[Part 3]])=0,_xlfn.CONCAT(Table1[[#This Row],[Part 2]]," - "),IF(COUNTBLANK(Table1[[#This Row],[Part 2]])=0,Table1[[#This Row],[Part 2]],""))</f>
        <v xml:space="preserve">Logic - </v>
      </c>
      <c r="AA70" t="str">
        <f>IF(COUNTBLANK(Table1[[#This Row],[Part 4]])=0,_xlfn.CONCAT(Table1[[#This Row],[Part 3]]," - "),IF(COUNTBLANK(Table1[[#This Row],[Part 3]])=0,Table1[[#This Row],[Part 3]],""))</f>
        <v xml:space="preserve">Counter - </v>
      </c>
      <c r="AB70" t="str">
        <f>IF(COUNTBLANK(Table1[[#This Row],[Part 5]])=0,_xlfn.CONCAT(Table1[[#This Row],[Part 4]]," - "),IF(COUNTBLANK(Table1[[#This Row],[Part 4]])=0,Table1[[#This Row],[Part 4]],""))</f>
        <v>Up&amp;Down</v>
      </c>
      <c r="AC70" t="str">
        <f>IF(COUNTBLANK(Table1[[#This Row],[Part 6]])=0,_xlfn.CONCAT(Table1[[#This Row],[Part 5]]," - "),IF(COUNTBLANK(Table1[[#This Row],[Part 5]])=0,Table1[[#This Row],[Part 5]],""))</f>
        <v/>
      </c>
      <c r="AD70" t="str">
        <f>IF(COUNTBLANK(Table1[[#This Row],[Part 7]])=0,_xlfn.CONCAT(Table1[[#This Row],[Part 6]]," - "),IF(COUNTBLANK(Table1[[#This Row],[Part 6]])=0,Table1[[#This Row],[Part 6]],""))</f>
        <v/>
      </c>
      <c r="AE70" t="str">
        <f>IF(COUNTBLANK(Table1[[#This Row],[Part 7]])=0,Table1[[#This Row],[Part 7]],"")</f>
        <v/>
      </c>
    </row>
    <row r="71" spans="8:31" x14ac:dyDescent="0.35">
      <c r="H71" t="str">
        <f>_xlfn.CONCAT(Table1[[#This Row],[Eff pt 1]:[Eff pt 7]])</f>
        <v>ICs - Logic - Counter - Up</v>
      </c>
      <c r="I71" s="6" t="s">
        <v>100</v>
      </c>
      <c r="J71" t="s">
        <v>118</v>
      </c>
      <c r="K71" t="s">
        <v>163</v>
      </c>
      <c r="L71" t="s">
        <v>164</v>
      </c>
      <c r="P71" s="6" t="b">
        <v>0</v>
      </c>
      <c r="Q71" t="b">
        <v>0</v>
      </c>
      <c r="R71" t="b">
        <v>0</v>
      </c>
      <c r="S71" s="5" t="b">
        <v>0</v>
      </c>
      <c r="T71" t="b">
        <v>0</v>
      </c>
      <c r="U71" t="b">
        <v>1</v>
      </c>
      <c r="V71" t="b">
        <v>0</v>
      </c>
      <c r="W71">
        <v>0</v>
      </c>
      <c r="X71" s="6">
        <f>(COUNTIF(Table1[[#This Row],[Spreadsheet]:[Functionality Verified?]],"=TRUE")/7) * 100</f>
        <v>14.285714285714285</v>
      </c>
      <c r="Y71" t="str">
        <f>IF(COUNTBLANK(Table1[[#This Row],[Part 2]])=0,_xlfn.CONCAT(Table1[[#This Row],[Part 1]]," - "),IF(COUNTBLANK(Table1[[#This Row],[Part 1]])=0,Table1[[#This Row],[Part 1]],""))</f>
        <v xml:space="preserve">ICs - </v>
      </c>
      <c r="Z71" t="str">
        <f>IF(COUNTBLANK(Table1[[#This Row],[Part 3]])=0,_xlfn.CONCAT(Table1[[#This Row],[Part 2]]," - "),IF(COUNTBLANK(Table1[[#This Row],[Part 2]])=0,Table1[[#This Row],[Part 2]],""))</f>
        <v xml:space="preserve">Logic - </v>
      </c>
      <c r="AA71" t="str">
        <f>IF(COUNTBLANK(Table1[[#This Row],[Part 4]])=0,_xlfn.CONCAT(Table1[[#This Row],[Part 3]]," - "),IF(COUNTBLANK(Table1[[#This Row],[Part 3]])=0,Table1[[#This Row],[Part 3]],""))</f>
        <v xml:space="preserve">Counter - </v>
      </c>
      <c r="AB71" t="str">
        <f>IF(COUNTBLANK(Table1[[#This Row],[Part 5]])=0,_xlfn.CONCAT(Table1[[#This Row],[Part 4]]," - "),IF(COUNTBLANK(Table1[[#This Row],[Part 4]])=0,Table1[[#This Row],[Part 4]],""))</f>
        <v>Up</v>
      </c>
      <c r="AC71" t="str">
        <f>IF(COUNTBLANK(Table1[[#This Row],[Part 6]])=0,_xlfn.CONCAT(Table1[[#This Row],[Part 5]]," - "),IF(COUNTBLANK(Table1[[#This Row],[Part 5]])=0,Table1[[#This Row],[Part 5]],""))</f>
        <v/>
      </c>
      <c r="AD71" t="str">
        <f>IF(COUNTBLANK(Table1[[#This Row],[Part 7]])=0,_xlfn.CONCAT(Table1[[#This Row],[Part 6]]," - "),IF(COUNTBLANK(Table1[[#This Row],[Part 6]])=0,Table1[[#This Row],[Part 6]],""))</f>
        <v/>
      </c>
      <c r="AE71" t="str">
        <f>IF(COUNTBLANK(Table1[[#This Row],[Part 7]])=0,Table1[[#This Row],[Part 7]],"")</f>
        <v/>
      </c>
    </row>
    <row r="72" spans="8:31" x14ac:dyDescent="0.35">
      <c r="H72" t="str">
        <f>_xlfn.CONCAT(Table1[[#This Row],[Eff pt 1]:[Eff pt 7]])</f>
        <v>ICs - Logic - Comparator - Digital</v>
      </c>
      <c r="I72" s="6" t="s">
        <v>100</v>
      </c>
      <c r="J72" t="s">
        <v>118</v>
      </c>
      <c r="K72" t="s">
        <v>116</v>
      </c>
      <c r="L72" t="s">
        <v>98</v>
      </c>
      <c r="P72" s="6" t="b">
        <v>0</v>
      </c>
      <c r="Q72" t="b">
        <v>0</v>
      </c>
      <c r="R72" t="b">
        <v>0</v>
      </c>
      <c r="S72" s="5" t="b">
        <v>0</v>
      </c>
      <c r="T72" t="b">
        <v>0</v>
      </c>
      <c r="U72" t="b">
        <v>1</v>
      </c>
      <c r="V72" t="b">
        <v>0</v>
      </c>
      <c r="W72">
        <v>0</v>
      </c>
      <c r="X72" s="6">
        <f>(COUNTIF(Table1[[#This Row],[Spreadsheet]:[Functionality Verified?]],"=TRUE")/7) * 100</f>
        <v>14.285714285714285</v>
      </c>
      <c r="Y72" t="str">
        <f>IF(COUNTBLANK(Table1[[#This Row],[Part 2]])=0,_xlfn.CONCAT(Table1[[#This Row],[Part 1]]," - "),IF(COUNTBLANK(Table1[[#This Row],[Part 1]])=0,Table1[[#This Row],[Part 1]],""))</f>
        <v xml:space="preserve">ICs - </v>
      </c>
      <c r="Z72" t="str">
        <f>IF(COUNTBLANK(Table1[[#This Row],[Part 3]])=0,_xlfn.CONCAT(Table1[[#This Row],[Part 2]]," - "),IF(COUNTBLANK(Table1[[#This Row],[Part 2]])=0,Table1[[#This Row],[Part 2]],""))</f>
        <v xml:space="preserve">Logic - </v>
      </c>
      <c r="AA72" t="str">
        <f>IF(COUNTBLANK(Table1[[#This Row],[Part 4]])=0,_xlfn.CONCAT(Table1[[#This Row],[Part 3]]," - "),IF(COUNTBLANK(Table1[[#This Row],[Part 3]])=0,Table1[[#This Row],[Part 3]],""))</f>
        <v xml:space="preserve">Comparator - </v>
      </c>
      <c r="AB72" t="str">
        <f>IF(COUNTBLANK(Table1[[#This Row],[Part 5]])=0,_xlfn.CONCAT(Table1[[#This Row],[Part 4]]," - "),IF(COUNTBLANK(Table1[[#This Row],[Part 4]])=0,Table1[[#This Row],[Part 4]],""))</f>
        <v>Digital</v>
      </c>
      <c r="AC72" t="str">
        <f>IF(COUNTBLANK(Table1[[#This Row],[Part 6]])=0,_xlfn.CONCAT(Table1[[#This Row],[Part 5]]," - "),IF(COUNTBLANK(Table1[[#This Row],[Part 5]])=0,Table1[[#This Row],[Part 5]],""))</f>
        <v/>
      </c>
      <c r="AD72" t="str">
        <f>IF(COUNTBLANK(Table1[[#This Row],[Part 7]])=0,_xlfn.CONCAT(Table1[[#This Row],[Part 6]]," - "),IF(COUNTBLANK(Table1[[#This Row],[Part 6]])=0,Table1[[#This Row],[Part 6]],""))</f>
        <v/>
      </c>
      <c r="AE72" t="str">
        <f>IF(COUNTBLANK(Table1[[#This Row],[Part 7]])=0,Table1[[#This Row],[Part 7]],"")</f>
        <v/>
      </c>
    </row>
    <row r="73" spans="8:31" x14ac:dyDescent="0.35">
      <c r="H73" t="str">
        <f>_xlfn.CONCAT(Table1[[#This Row],[Eff pt 1]:[Eff pt 7]])</f>
        <v>ICs - Interface  - UART</v>
      </c>
      <c r="I73" s="6" t="s">
        <v>100</v>
      </c>
      <c r="J73" t="s">
        <v>119</v>
      </c>
      <c r="K73" t="s">
        <v>162</v>
      </c>
      <c r="P73" s="6" t="b">
        <v>0</v>
      </c>
      <c r="Q73" t="b">
        <v>0</v>
      </c>
      <c r="R73" t="b">
        <v>0</v>
      </c>
      <c r="S73" s="5" t="b">
        <v>0</v>
      </c>
      <c r="T73" t="b">
        <v>0</v>
      </c>
      <c r="U73" t="b">
        <v>1</v>
      </c>
      <c r="V73" t="b">
        <v>0</v>
      </c>
      <c r="W73">
        <v>0</v>
      </c>
      <c r="X73" s="6">
        <f>(COUNTIF(Table1[[#This Row],[Spreadsheet]:[Functionality Verified?]],"=TRUE")/7) * 100</f>
        <v>14.285714285714285</v>
      </c>
      <c r="Y73" t="str">
        <f>IF(COUNTBLANK(Table1[[#This Row],[Part 2]])=0,_xlfn.CONCAT(Table1[[#This Row],[Part 1]]," - "),IF(COUNTBLANK(Table1[[#This Row],[Part 1]])=0,Table1[[#This Row],[Part 1]],""))</f>
        <v xml:space="preserve">ICs - </v>
      </c>
      <c r="Z73" t="str">
        <f>IF(COUNTBLANK(Table1[[#This Row],[Part 3]])=0,_xlfn.CONCAT(Table1[[#This Row],[Part 2]]," - "),IF(COUNTBLANK(Table1[[#This Row],[Part 2]])=0,Table1[[#This Row],[Part 2]],""))</f>
        <v xml:space="preserve">Interface  - </v>
      </c>
      <c r="AA73" t="str">
        <f>IF(COUNTBLANK(Table1[[#This Row],[Part 4]])=0,_xlfn.CONCAT(Table1[[#This Row],[Part 3]]," - "),IF(COUNTBLANK(Table1[[#This Row],[Part 3]])=0,Table1[[#This Row],[Part 3]],""))</f>
        <v>UART</v>
      </c>
      <c r="AB73" t="str">
        <f>IF(COUNTBLANK(Table1[[#This Row],[Part 5]])=0,_xlfn.CONCAT(Table1[[#This Row],[Part 4]]," - "),IF(COUNTBLANK(Table1[[#This Row],[Part 4]])=0,Table1[[#This Row],[Part 4]],""))</f>
        <v/>
      </c>
      <c r="AC73" t="str">
        <f>IF(COUNTBLANK(Table1[[#This Row],[Part 6]])=0,_xlfn.CONCAT(Table1[[#This Row],[Part 5]]," - "),IF(COUNTBLANK(Table1[[#This Row],[Part 5]])=0,Table1[[#This Row],[Part 5]],""))</f>
        <v/>
      </c>
      <c r="AD73" t="str">
        <f>IF(COUNTBLANK(Table1[[#This Row],[Part 7]])=0,_xlfn.CONCAT(Table1[[#This Row],[Part 6]]," - "),IF(COUNTBLANK(Table1[[#This Row],[Part 6]])=0,Table1[[#This Row],[Part 6]],""))</f>
        <v/>
      </c>
      <c r="AE73" t="str">
        <f>IF(COUNTBLANK(Table1[[#This Row],[Part 7]])=0,Table1[[#This Row],[Part 7]],"")</f>
        <v/>
      </c>
    </row>
    <row r="74" spans="8:31" x14ac:dyDescent="0.35">
      <c r="H74" t="str">
        <f>_xlfn.CONCAT(Table1[[#This Row],[Eff pt 1]:[Eff pt 7]])</f>
        <v>ICs - Interface  - Trancievers</v>
      </c>
      <c r="I74" s="6" t="s">
        <v>100</v>
      </c>
      <c r="J74" t="s">
        <v>119</v>
      </c>
      <c r="K74" t="s">
        <v>122</v>
      </c>
      <c r="P74" s="6" t="b">
        <v>0</v>
      </c>
      <c r="Q74" t="b">
        <v>0</v>
      </c>
      <c r="R74" t="b">
        <v>0</v>
      </c>
      <c r="S74" s="5" t="b">
        <v>0</v>
      </c>
      <c r="T74" t="b">
        <v>0</v>
      </c>
      <c r="U74" t="b">
        <v>1</v>
      </c>
      <c r="V74" t="b">
        <v>0</v>
      </c>
      <c r="W74">
        <v>0</v>
      </c>
      <c r="X74" s="6">
        <f>(COUNTIF(Table1[[#This Row],[Spreadsheet]:[Functionality Verified?]],"=TRUE")/7) * 100</f>
        <v>14.285714285714285</v>
      </c>
      <c r="Y74" t="str">
        <f>IF(COUNTBLANK(Table1[[#This Row],[Part 2]])=0,_xlfn.CONCAT(Table1[[#This Row],[Part 1]]," - "),IF(COUNTBLANK(Table1[[#This Row],[Part 1]])=0,Table1[[#This Row],[Part 1]],""))</f>
        <v xml:space="preserve">ICs - </v>
      </c>
      <c r="Z74" t="str">
        <f>IF(COUNTBLANK(Table1[[#This Row],[Part 3]])=0,_xlfn.CONCAT(Table1[[#This Row],[Part 2]]," - "),IF(COUNTBLANK(Table1[[#This Row],[Part 2]])=0,Table1[[#This Row],[Part 2]],""))</f>
        <v xml:space="preserve">Interface  - </v>
      </c>
      <c r="AA74" t="str">
        <f>IF(COUNTBLANK(Table1[[#This Row],[Part 4]])=0,_xlfn.CONCAT(Table1[[#This Row],[Part 3]]," - "),IF(COUNTBLANK(Table1[[#This Row],[Part 3]])=0,Table1[[#This Row],[Part 3]],""))</f>
        <v>Trancievers</v>
      </c>
      <c r="AB74" t="str">
        <f>IF(COUNTBLANK(Table1[[#This Row],[Part 5]])=0,_xlfn.CONCAT(Table1[[#This Row],[Part 4]]," - "),IF(COUNTBLANK(Table1[[#This Row],[Part 4]])=0,Table1[[#This Row],[Part 4]],""))</f>
        <v/>
      </c>
      <c r="AC74" t="str">
        <f>IF(COUNTBLANK(Table1[[#This Row],[Part 6]])=0,_xlfn.CONCAT(Table1[[#This Row],[Part 5]]," - "),IF(COUNTBLANK(Table1[[#This Row],[Part 5]])=0,Table1[[#This Row],[Part 5]],""))</f>
        <v/>
      </c>
      <c r="AD74" t="str">
        <f>IF(COUNTBLANK(Table1[[#This Row],[Part 7]])=0,_xlfn.CONCAT(Table1[[#This Row],[Part 6]]," - "),IF(COUNTBLANK(Table1[[#This Row],[Part 6]])=0,Table1[[#This Row],[Part 6]],""))</f>
        <v/>
      </c>
      <c r="AE74" t="str">
        <f>IF(COUNTBLANK(Table1[[#This Row],[Part 7]])=0,Table1[[#This Row],[Part 7]],"")</f>
        <v/>
      </c>
    </row>
    <row r="75" spans="8:31" x14ac:dyDescent="0.35">
      <c r="H75" t="str">
        <f>_xlfn.CONCAT(Table1[[#This Row],[Eff pt 1]:[Eff pt 7]])</f>
        <v>ICs - Interface  - Serializer</v>
      </c>
      <c r="I75" s="6" t="s">
        <v>100</v>
      </c>
      <c r="J75" t="s">
        <v>119</v>
      </c>
      <c r="K75" t="s">
        <v>159</v>
      </c>
      <c r="P75" s="6" t="b">
        <v>0</v>
      </c>
      <c r="Q75" t="b">
        <v>0</v>
      </c>
      <c r="R75" t="b">
        <v>0</v>
      </c>
      <c r="S75" s="5" t="b">
        <v>0</v>
      </c>
      <c r="T75" t="b">
        <v>0</v>
      </c>
      <c r="U75" t="b">
        <v>1</v>
      </c>
      <c r="V75" t="b">
        <v>0</v>
      </c>
      <c r="W75">
        <v>0</v>
      </c>
      <c r="X75" s="6">
        <f>(COUNTIF(Table1[[#This Row],[Spreadsheet]:[Functionality Verified?]],"=TRUE")/7) * 100</f>
        <v>14.285714285714285</v>
      </c>
      <c r="Y75" t="str">
        <f>IF(COUNTBLANK(Table1[[#This Row],[Part 2]])=0,_xlfn.CONCAT(Table1[[#This Row],[Part 1]]," - "),IF(COUNTBLANK(Table1[[#This Row],[Part 1]])=0,Table1[[#This Row],[Part 1]],""))</f>
        <v xml:space="preserve">ICs - </v>
      </c>
      <c r="Z75" t="str">
        <f>IF(COUNTBLANK(Table1[[#This Row],[Part 3]])=0,_xlfn.CONCAT(Table1[[#This Row],[Part 2]]," - "),IF(COUNTBLANK(Table1[[#This Row],[Part 2]])=0,Table1[[#This Row],[Part 2]],""))</f>
        <v xml:space="preserve">Interface  - </v>
      </c>
      <c r="AA75" t="str">
        <f>IF(COUNTBLANK(Table1[[#This Row],[Part 4]])=0,_xlfn.CONCAT(Table1[[#This Row],[Part 3]]," - "),IF(COUNTBLANK(Table1[[#This Row],[Part 3]])=0,Table1[[#This Row],[Part 3]],""))</f>
        <v>Serializer</v>
      </c>
      <c r="AB75" t="str">
        <f>IF(COUNTBLANK(Table1[[#This Row],[Part 5]])=0,_xlfn.CONCAT(Table1[[#This Row],[Part 4]]," - "),IF(COUNTBLANK(Table1[[#This Row],[Part 4]])=0,Table1[[#This Row],[Part 4]],""))</f>
        <v/>
      </c>
      <c r="AC75" t="str">
        <f>IF(COUNTBLANK(Table1[[#This Row],[Part 6]])=0,_xlfn.CONCAT(Table1[[#This Row],[Part 5]]," - "),IF(COUNTBLANK(Table1[[#This Row],[Part 5]])=0,Table1[[#This Row],[Part 5]],""))</f>
        <v/>
      </c>
      <c r="AD75" t="str">
        <f>IF(COUNTBLANK(Table1[[#This Row],[Part 7]])=0,_xlfn.CONCAT(Table1[[#This Row],[Part 6]]," - "),IF(COUNTBLANK(Table1[[#This Row],[Part 6]])=0,Table1[[#This Row],[Part 6]],""))</f>
        <v/>
      </c>
      <c r="AE75" t="str">
        <f>IF(COUNTBLANK(Table1[[#This Row],[Part 7]])=0,Table1[[#This Row],[Part 7]],"")</f>
        <v/>
      </c>
    </row>
    <row r="76" spans="8:31" x14ac:dyDescent="0.35">
      <c r="H76" t="str">
        <f>_xlfn.CONCAT(Table1[[#This Row],[Eff pt 1]:[Eff pt 7]])</f>
        <v>ICs - Interface  - Recievers</v>
      </c>
      <c r="I76" s="6" t="s">
        <v>100</v>
      </c>
      <c r="J76" t="s">
        <v>119</v>
      </c>
      <c r="K76" t="s">
        <v>121</v>
      </c>
      <c r="P76" s="6" t="b">
        <v>0</v>
      </c>
      <c r="Q76" t="b">
        <v>0</v>
      </c>
      <c r="R76" t="b">
        <v>0</v>
      </c>
      <c r="S76" s="5" t="b">
        <v>0</v>
      </c>
      <c r="T76" t="b">
        <v>0</v>
      </c>
      <c r="U76" t="b">
        <v>1</v>
      </c>
      <c r="V76" t="b">
        <v>0</v>
      </c>
      <c r="W76">
        <v>0</v>
      </c>
      <c r="X76" s="6">
        <f>(COUNTIF(Table1[[#This Row],[Spreadsheet]:[Functionality Verified?]],"=TRUE")/7) * 100</f>
        <v>14.285714285714285</v>
      </c>
      <c r="Y76" t="str">
        <f>IF(COUNTBLANK(Table1[[#This Row],[Part 2]])=0,_xlfn.CONCAT(Table1[[#This Row],[Part 1]]," - "),IF(COUNTBLANK(Table1[[#This Row],[Part 1]])=0,Table1[[#This Row],[Part 1]],""))</f>
        <v xml:space="preserve">ICs - </v>
      </c>
      <c r="Z76" t="str">
        <f>IF(COUNTBLANK(Table1[[#This Row],[Part 3]])=0,_xlfn.CONCAT(Table1[[#This Row],[Part 2]]," - "),IF(COUNTBLANK(Table1[[#This Row],[Part 2]])=0,Table1[[#This Row],[Part 2]],""))</f>
        <v xml:space="preserve">Interface  - </v>
      </c>
      <c r="AA76" t="str">
        <f>IF(COUNTBLANK(Table1[[#This Row],[Part 4]])=0,_xlfn.CONCAT(Table1[[#This Row],[Part 3]]," - "),IF(COUNTBLANK(Table1[[#This Row],[Part 3]])=0,Table1[[#This Row],[Part 3]],""))</f>
        <v>Recievers</v>
      </c>
      <c r="AB76" t="str">
        <f>IF(COUNTBLANK(Table1[[#This Row],[Part 5]])=0,_xlfn.CONCAT(Table1[[#This Row],[Part 4]]," - "),IF(COUNTBLANK(Table1[[#This Row],[Part 4]])=0,Table1[[#This Row],[Part 4]],""))</f>
        <v/>
      </c>
      <c r="AC76" t="str">
        <f>IF(COUNTBLANK(Table1[[#This Row],[Part 6]])=0,_xlfn.CONCAT(Table1[[#This Row],[Part 5]]," - "),IF(COUNTBLANK(Table1[[#This Row],[Part 5]])=0,Table1[[#This Row],[Part 5]],""))</f>
        <v/>
      </c>
      <c r="AD76" t="str">
        <f>IF(COUNTBLANK(Table1[[#This Row],[Part 7]])=0,_xlfn.CONCAT(Table1[[#This Row],[Part 6]]," - "),IF(COUNTBLANK(Table1[[#This Row],[Part 6]])=0,Table1[[#This Row],[Part 6]],""))</f>
        <v/>
      </c>
      <c r="AE76" t="str">
        <f>IF(COUNTBLANK(Table1[[#This Row],[Part 7]])=0,Table1[[#This Row],[Part 7]],"")</f>
        <v/>
      </c>
    </row>
    <row r="77" spans="8:31" x14ac:dyDescent="0.35">
      <c r="H77" t="str">
        <f>_xlfn.CONCAT(Table1[[#This Row],[Eff pt 1]:[Eff pt 7]])</f>
        <v>ICs - Interface  - IO Expander</v>
      </c>
      <c r="I77" s="6" t="s">
        <v>100</v>
      </c>
      <c r="J77" t="s">
        <v>119</v>
      </c>
      <c r="K77" t="s">
        <v>155</v>
      </c>
      <c r="P77" s="6" t="b">
        <v>0</v>
      </c>
      <c r="Q77" t="b">
        <v>0</v>
      </c>
      <c r="R77" t="b">
        <v>0</v>
      </c>
      <c r="S77" s="5" t="b">
        <v>0</v>
      </c>
      <c r="T77" t="b">
        <v>0</v>
      </c>
      <c r="U77" t="b">
        <v>1</v>
      </c>
      <c r="V77" t="b">
        <v>0</v>
      </c>
      <c r="W77">
        <v>0</v>
      </c>
      <c r="X77" s="6">
        <f>(COUNTIF(Table1[[#This Row],[Spreadsheet]:[Functionality Verified?]],"=TRUE")/7) * 100</f>
        <v>14.285714285714285</v>
      </c>
      <c r="Y77" t="str">
        <f>IF(COUNTBLANK(Table1[[#This Row],[Part 2]])=0,_xlfn.CONCAT(Table1[[#This Row],[Part 1]]," - "),IF(COUNTBLANK(Table1[[#This Row],[Part 1]])=0,Table1[[#This Row],[Part 1]],""))</f>
        <v xml:space="preserve">ICs - </v>
      </c>
      <c r="Z77" t="str">
        <f>IF(COUNTBLANK(Table1[[#This Row],[Part 3]])=0,_xlfn.CONCAT(Table1[[#This Row],[Part 2]]," - "),IF(COUNTBLANK(Table1[[#This Row],[Part 2]])=0,Table1[[#This Row],[Part 2]],""))</f>
        <v xml:space="preserve">Interface  - </v>
      </c>
      <c r="AA77" t="str">
        <f>IF(COUNTBLANK(Table1[[#This Row],[Part 4]])=0,_xlfn.CONCAT(Table1[[#This Row],[Part 3]]," - "),IF(COUNTBLANK(Table1[[#This Row],[Part 3]])=0,Table1[[#This Row],[Part 3]],""))</f>
        <v>IO Expander</v>
      </c>
      <c r="AB77" t="str">
        <f>IF(COUNTBLANK(Table1[[#This Row],[Part 5]])=0,_xlfn.CONCAT(Table1[[#This Row],[Part 4]]," - "),IF(COUNTBLANK(Table1[[#This Row],[Part 4]])=0,Table1[[#This Row],[Part 4]],""))</f>
        <v/>
      </c>
      <c r="AC77" t="str">
        <f>IF(COUNTBLANK(Table1[[#This Row],[Part 6]])=0,_xlfn.CONCAT(Table1[[#This Row],[Part 5]]," - "),IF(COUNTBLANK(Table1[[#This Row],[Part 5]])=0,Table1[[#This Row],[Part 5]],""))</f>
        <v/>
      </c>
      <c r="AD77" t="str">
        <f>IF(COUNTBLANK(Table1[[#This Row],[Part 7]])=0,_xlfn.CONCAT(Table1[[#This Row],[Part 6]]," - "),IF(COUNTBLANK(Table1[[#This Row],[Part 6]])=0,Table1[[#This Row],[Part 6]],""))</f>
        <v/>
      </c>
      <c r="AE77" t="str">
        <f>IF(COUNTBLANK(Table1[[#This Row],[Part 7]])=0,Table1[[#This Row],[Part 7]],"")</f>
        <v/>
      </c>
    </row>
    <row r="78" spans="8:31" x14ac:dyDescent="0.35">
      <c r="H78" t="str">
        <f>_xlfn.CONCAT(Table1[[#This Row],[Eff pt 1]:[Eff pt 7]])</f>
        <v>ICs - Interface  - Drivers</v>
      </c>
      <c r="I78" s="6" t="s">
        <v>100</v>
      </c>
      <c r="J78" t="s">
        <v>119</v>
      </c>
      <c r="K78" t="s">
        <v>120</v>
      </c>
      <c r="P78" s="6" t="b">
        <v>0</v>
      </c>
      <c r="Q78" t="b">
        <v>0</v>
      </c>
      <c r="R78" t="b">
        <v>0</v>
      </c>
      <c r="S78" s="5" t="b">
        <v>0</v>
      </c>
      <c r="T78" t="b">
        <v>0</v>
      </c>
      <c r="U78" t="b">
        <v>1</v>
      </c>
      <c r="V78" t="b">
        <v>0</v>
      </c>
      <c r="W78">
        <v>0</v>
      </c>
      <c r="X78" s="6">
        <f>(COUNTIF(Table1[[#This Row],[Spreadsheet]:[Functionality Verified?]],"=TRUE")/7) * 100</f>
        <v>14.285714285714285</v>
      </c>
      <c r="Y78" t="str">
        <f>IF(COUNTBLANK(Table1[[#This Row],[Part 2]])=0,_xlfn.CONCAT(Table1[[#This Row],[Part 1]]," - "),IF(COUNTBLANK(Table1[[#This Row],[Part 1]])=0,Table1[[#This Row],[Part 1]],""))</f>
        <v xml:space="preserve">ICs - </v>
      </c>
      <c r="Z78" t="str">
        <f>IF(COUNTBLANK(Table1[[#This Row],[Part 3]])=0,_xlfn.CONCAT(Table1[[#This Row],[Part 2]]," - "),IF(COUNTBLANK(Table1[[#This Row],[Part 2]])=0,Table1[[#This Row],[Part 2]],""))</f>
        <v xml:space="preserve">Interface  - </v>
      </c>
      <c r="AA78" t="str">
        <f>IF(COUNTBLANK(Table1[[#This Row],[Part 4]])=0,_xlfn.CONCAT(Table1[[#This Row],[Part 3]]," - "),IF(COUNTBLANK(Table1[[#This Row],[Part 3]])=0,Table1[[#This Row],[Part 3]],""))</f>
        <v>Drivers</v>
      </c>
      <c r="AB78" t="str">
        <f>IF(COUNTBLANK(Table1[[#This Row],[Part 5]])=0,_xlfn.CONCAT(Table1[[#This Row],[Part 4]]," - "),IF(COUNTBLANK(Table1[[#This Row],[Part 4]])=0,Table1[[#This Row],[Part 4]],""))</f>
        <v/>
      </c>
      <c r="AC78" t="str">
        <f>IF(COUNTBLANK(Table1[[#This Row],[Part 6]])=0,_xlfn.CONCAT(Table1[[#This Row],[Part 5]]," - "),IF(COUNTBLANK(Table1[[#This Row],[Part 5]])=0,Table1[[#This Row],[Part 5]],""))</f>
        <v/>
      </c>
      <c r="AD78" t="str">
        <f>IF(COUNTBLANK(Table1[[#This Row],[Part 7]])=0,_xlfn.CONCAT(Table1[[#This Row],[Part 6]]," - "),IF(COUNTBLANK(Table1[[#This Row],[Part 6]])=0,Table1[[#This Row],[Part 6]],""))</f>
        <v/>
      </c>
      <c r="AE78" t="str">
        <f>IF(COUNTBLANK(Table1[[#This Row],[Part 7]])=0,Table1[[#This Row],[Part 7]],"")</f>
        <v/>
      </c>
    </row>
    <row r="79" spans="8:31" x14ac:dyDescent="0.35">
      <c r="H79" t="str">
        <f>_xlfn.CONCAT(Table1[[#This Row],[Eff pt 1]:[Eff pt 7]])</f>
        <v>ICs - Interface  - Deserializer</v>
      </c>
      <c r="I79" s="6" t="s">
        <v>100</v>
      </c>
      <c r="J79" t="s">
        <v>119</v>
      </c>
      <c r="K79" t="s">
        <v>160</v>
      </c>
      <c r="P79" s="6" t="b">
        <v>0</v>
      </c>
      <c r="Q79" t="b">
        <v>0</v>
      </c>
      <c r="R79" t="b">
        <v>0</v>
      </c>
      <c r="S79" s="5" t="b">
        <v>0</v>
      </c>
      <c r="T79" t="b">
        <v>0</v>
      </c>
      <c r="U79" t="b">
        <v>1</v>
      </c>
      <c r="V79" t="b">
        <v>0</v>
      </c>
      <c r="W79">
        <v>0</v>
      </c>
      <c r="X79" s="6">
        <f>(COUNTIF(Table1[[#This Row],[Spreadsheet]:[Functionality Verified?]],"=TRUE")/7) * 100</f>
        <v>14.285714285714285</v>
      </c>
      <c r="Y79" t="str">
        <f>IF(COUNTBLANK(Table1[[#This Row],[Part 2]])=0,_xlfn.CONCAT(Table1[[#This Row],[Part 1]]," - "),IF(COUNTBLANK(Table1[[#This Row],[Part 1]])=0,Table1[[#This Row],[Part 1]],""))</f>
        <v xml:space="preserve">ICs - </v>
      </c>
      <c r="Z79" t="str">
        <f>IF(COUNTBLANK(Table1[[#This Row],[Part 3]])=0,_xlfn.CONCAT(Table1[[#This Row],[Part 2]]," - "),IF(COUNTBLANK(Table1[[#This Row],[Part 2]])=0,Table1[[#This Row],[Part 2]],""))</f>
        <v xml:space="preserve">Interface  - </v>
      </c>
      <c r="AA79" t="str">
        <f>IF(COUNTBLANK(Table1[[#This Row],[Part 4]])=0,_xlfn.CONCAT(Table1[[#This Row],[Part 3]]," - "),IF(COUNTBLANK(Table1[[#This Row],[Part 3]])=0,Table1[[#This Row],[Part 3]],""))</f>
        <v>Deserializer</v>
      </c>
      <c r="AB79" t="str">
        <f>IF(COUNTBLANK(Table1[[#This Row],[Part 5]])=0,_xlfn.CONCAT(Table1[[#This Row],[Part 4]]," - "),IF(COUNTBLANK(Table1[[#This Row],[Part 4]])=0,Table1[[#This Row],[Part 4]],""))</f>
        <v/>
      </c>
      <c r="AC79" t="str">
        <f>IF(COUNTBLANK(Table1[[#This Row],[Part 6]])=0,_xlfn.CONCAT(Table1[[#This Row],[Part 5]]," - "),IF(COUNTBLANK(Table1[[#This Row],[Part 5]])=0,Table1[[#This Row],[Part 5]],""))</f>
        <v/>
      </c>
      <c r="AD79" t="str">
        <f>IF(COUNTBLANK(Table1[[#This Row],[Part 7]])=0,_xlfn.CONCAT(Table1[[#This Row],[Part 6]]," - "),IF(COUNTBLANK(Table1[[#This Row],[Part 6]])=0,Table1[[#This Row],[Part 6]],""))</f>
        <v/>
      </c>
      <c r="AE79" t="str">
        <f>IF(COUNTBLANK(Table1[[#This Row],[Part 7]])=0,Table1[[#This Row],[Part 7]],"")</f>
        <v/>
      </c>
    </row>
    <row r="80" spans="8:31" x14ac:dyDescent="0.35">
      <c r="H80" t="str">
        <f>_xlfn.CONCAT(Table1[[#This Row],[Eff pt 1]:[Eff pt 7]])</f>
        <v>ICs - Interface  - Controller</v>
      </c>
      <c r="I80" s="6" t="s">
        <v>100</v>
      </c>
      <c r="J80" t="s">
        <v>119</v>
      </c>
      <c r="K80" t="s">
        <v>161</v>
      </c>
      <c r="P80" s="6" t="b">
        <v>0</v>
      </c>
      <c r="Q80" t="b">
        <v>0</v>
      </c>
      <c r="R80" t="b">
        <v>0</v>
      </c>
      <c r="S80" s="5" t="b">
        <v>0</v>
      </c>
      <c r="T80" t="b">
        <v>0</v>
      </c>
      <c r="U80" t="b">
        <v>1</v>
      </c>
      <c r="V80" t="b">
        <v>0</v>
      </c>
      <c r="W80">
        <v>0</v>
      </c>
      <c r="X80" s="6">
        <f>(COUNTIF(Table1[[#This Row],[Spreadsheet]:[Functionality Verified?]],"=TRUE")/7) * 100</f>
        <v>14.285714285714285</v>
      </c>
      <c r="Y80" t="str">
        <f>IF(COUNTBLANK(Table1[[#This Row],[Part 2]])=0,_xlfn.CONCAT(Table1[[#This Row],[Part 1]]," - "),IF(COUNTBLANK(Table1[[#This Row],[Part 1]])=0,Table1[[#This Row],[Part 1]],""))</f>
        <v xml:space="preserve">ICs - </v>
      </c>
      <c r="Z80" t="str">
        <f>IF(COUNTBLANK(Table1[[#This Row],[Part 3]])=0,_xlfn.CONCAT(Table1[[#This Row],[Part 2]]," - "),IF(COUNTBLANK(Table1[[#This Row],[Part 2]])=0,Table1[[#This Row],[Part 2]],""))</f>
        <v xml:space="preserve">Interface  - </v>
      </c>
      <c r="AA80" t="str">
        <f>IF(COUNTBLANK(Table1[[#This Row],[Part 4]])=0,_xlfn.CONCAT(Table1[[#This Row],[Part 3]]," - "),IF(COUNTBLANK(Table1[[#This Row],[Part 3]])=0,Table1[[#This Row],[Part 3]],""))</f>
        <v>Controller</v>
      </c>
      <c r="AB80" t="str">
        <f>IF(COUNTBLANK(Table1[[#This Row],[Part 5]])=0,_xlfn.CONCAT(Table1[[#This Row],[Part 4]]," - "),IF(COUNTBLANK(Table1[[#This Row],[Part 4]])=0,Table1[[#This Row],[Part 4]],""))</f>
        <v/>
      </c>
      <c r="AC80" t="str">
        <f>IF(COUNTBLANK(Table1[[#This Row],[Part 6]])=0,_xlfn.CONCAT(Table1[[#This Row],[Part 5]]," - "),IF(COUNTBLANK(Table1[[#This Row],[Part 5]])=0,Table1[[#This Row],[Part 5]],""))</f>
        <v/>
      </c>
      <c r="AD80" t="str">
        <f>IF(COUNTBLANK(Table1[[#This Row],[Part 7]])=0,_xlfn.CONCAT(Table1[[#This Row],[Part 6]]," - "),IF(COUNTBLANK(Table1[[#This Row],[Part 6]])=0,Table1[[#This Row],[Part 6]],""))</f>
        <v/>
      </c>
      <c r="AE80" t="str">
        <f>IF(COUNTBLANK(Table1[[#This Row],[Part 7]])=0,Table1[[#This Row],[Part 7]],"")</f>
        <v/>
      </c>
    </row>
    <row r="81" spans="8:31" x14ac:dyDescent="0.35">
      <c r="H81" t="str">
        <f>_xlfn.CONCAT(Table1[[#This Row],[Eff pt 1]:[Eff pt 7]])</f>
        <v>ICs - Embedded - PolarFire - SOC</v>
      </c>
      <c r="I81" s="6" t="s">
        <v>100</v>
      </c>
      <c r="J81" t="s">
        <v>106</v>
      </c>
      <c r="K81" t="s">
        <v>109</v>
      </c>
      <c r="L81" t="s">
        <v>183</v>
      </c>
      <c r="P81" s="6" t="b">
        <v>0</v>
      </c>
      <c r="Q81" t="b">
        <v>0</v>
      </c>
      <c r="R81" t="b">
        <v>0</v>
      </c>
      <c r="S81" s="5" t="b">
        <v>0</v>
      </c>
      <c r="T81" t="b">
        <v>0</v>
      </c>
      <c r="U81" t="b">
        <v>1</v>
      </c>
      <c r="V81" t="b">
        <v>0</v>
      </c>
      <c r="W81">
        <v>0</v>
      </c>
      <c r="X81" s="6">
        <f>(COUNTIF(Table1[[#This Row],[Spreadsheet]:[Functionality Verified?]],"=TRUE")/7) * 100</f>
        <v>14.285714285714285</v>
      </c>
      <c r="Y81" t="str">
        <f>IF(COUNTBLANK(Table1[[#This Row],[Part 2]])=0,_xlfn.CONCAT(Table1[[#This Row],[Part 1]]," - "),IF(COUNTBLANK(Table1[[#This Row],[Part 1]])=0,Table1[[#This Row],[Part 1]],""))</f>
        <v xml:space="preserve">ICs - </v>
      </c>
      <c r="Z81" t="str">
        <f>IF(COUNTBLANK(Table1[[#This Row],[Part 3]])=0,_xlfn.CONCAT(Table1[[#This Row],[Part 2]]," - "),IF(COUNTBLANK(Table1[[#This Row],[Part 2]])=0,Table1[[#This Row],[Part 2]],""))</f>
        <v xml:space="preserve">Embedded - </v>
      </c>
      <c r="AA81" t="str">
        <f>IF(COUNTBLANK(Table1[[#This Row],[Part 4]])=0,_xlfn.CONCAT(Table1[[#This Row],[Part 3]]," - "),IF(COUNTBLANK(Table1[[#This Row],[Part 3]])=0,Table1[[#This Row],[Part 3]],""))</f>
        <v xml:space="preserve">PolarFire - </v>
      </c>
      <c r="AB81" t="str">
        <f>IF(COUNTBLANK(Table1[[#This Row],[Part 5]])=0,_xlfn.CONCAT(Table1[[#This Row],[Part 4]]," - "),IF(COUNTBLANK(Table1[[#This Row],[Part 4]])=0,Table1[[#This Row],[Part 4]],""))</f>
        <v>SOC</v>
      </c>
      <c r="AC81" t="str">
        <f>IF(COUNTBLANK(Table1[[#This Row],[Part 6]])=0,_xlfn.CONCAT(Table1[[#This Row],[Part 5]]," - "),IF(COUNTBLANK(Table1[[#This Row],[Part 5]])=0,Table1[[#This Row],[Part 5]],""))</f>
        <v/>
      </c>
      <c r="AD81" t="str">
        <f>IF(COUNTBLANK(Table1[[#This Row],[Part 7]])=0,_xlfn.CONCAT(Table1[[#This Row],[Part 6]]," - "),IF(COUNTBLANK(Table1[[#This Row],[Part 6]])=0,Table1[[#This Row],[Part 6]],""))</f>
        <v/>
      </c>
      <c r="AE81" t="str">
        <f>IF(COUNTBLANK(Table1[[#This Row],[Part 7]])=0,Table1[[#This Row],[Part 7]],"")</f>
        <v/>
      </c>
    </row>
    <row r="82" spans="8:31" x14ac:dyDescent="0.35">
      <c r="H82" t="str">
        <f>_xlfn.CONCAT(Table1[[#This Row],[Eff pt 1]:[Eff pt 7]])</f>
        <v>ICs - Embedded - FPGA</v>
      </c>
      <c r="I82" s="6" t="s">
        <v>100</v>
      </c>
      <c r="J82" t="s">
        <v>106</v>
      </c>
      <c r="K82" t="s">
        <v>108</v>
      </c>
      <c r="P82" s="6" t="s">
        <v>184</v>
      </c>
      <c r="Q82" t="b">
        <v>0</v>
      </c>
      <c r="R82" t="b">
        <v>0</v>
      </c>
      <c r="S82" s="5" t="b">
        <v>1</v>
      </c>
      <c r="T82" t="b">
        <v>0</v>
      </c>
      <c r="U82" t="b">
        <v>1</v>
      </c>
      <c r="V82" t="b">
        <v>0</v>
      </c>
      <c r="W82">
        <v>0</v>
      </c>
      <c r="X82" s="6">
        <f>(COUNTIF(Table1[[#This Row],[Spreadsheet]:[Functionality Verified?]],"=TRUE")/7) * 100</f>
        <v>28.571428571428569</v>
      </c>
      <c r="Y82" t="str">
        <f>IF(COUNTBLANK(Table1[[#This Row],[Part 2]])=0,_xlfn.CONCAT(Table1[[#This Row],[Part 1]]," - "),IF(COUNTBLANK(Table1[[#This Row],[Part 1]])=0,Table1[[#This Row],[Part 1]],""))</f>
        <v xml:space="preserve">ICs - </v>
      </c>
      <c r="Z82" t="str">
        <f>IF(COUNTBLANK(Table1[[#This Row],[Part 3]])=0,_xlfn.CONCAT(Table1[[#This Row],[Part 2]]," - "),IF(COUNTBLANK(Table1[[#This Row],[Part 2]])=0,Table1[[#This Row],[Part 2]],""))</f>
        <v xml:space="preserve">Embedded - </v>
      </c>
      <c r="AA82" t="str">
        <f>IF(COUNTBLANK(Table1[[#This Row],[Part 4]])=0,_xlfn.CONCAT(Table1[[#This Row],[Part 3]]," - "),IF(COUNTBLANK(Table1[[#This Row],[Part 3]])=0,Table1[[#This Row],[Part 3]],""))</f>
        <v>FPGA</v>
      </c>
      <c r="AB82" t="str">
        <f>IF(COUNTBLANK(Table1[[#This Row],[Part 5]])=0,_xlfn.CONCAT(Table1[[#This Row],[Part 4]]," - "),IF(COUNTBLANK(Table1[[#This Row],[Part 4]])=0,Table1[[#This Row],[Part 4]],""))</f>
        <v/>
      </c>
      <c r="AC82" t="str">
        <f>IF(COUNTBLANK(Table1[[#This Row],[Part 6]])=0,_xlfn.CONCAT(Table1[[#This Row],[Part 5]]," - "),IF(COUNTBLANK(Table1[[#This Row],[Part 5]])=0,Table1[[#This Row],[Part 5]],""))</f>
        <v/>
      </c>
      <c r="AD82" t="str">
        <f>IF(COUNTBLANK(Table1[[#This Row],[Part 7]])=0,_xlfn.CONCAT(Table1[[#This Row],[Part 6]]," - "),IF(COUNTBLANK(Table1[[#This Row],[Part 6]])=0,Table1[[#This Row],[Part 6]],""))</f>
        <v/>
      </c>
      <c r="AE82" t="str">
        <f>IF(COUNTBLANK(Table1[[#This Row],[Part 7]])=0,Table1[[#This Row],[Part 7]],"")</f>
        <v/>
      </c>
    </row>
    <row r="83" spans="8:31" x14ac:dyDescent="0.35">
      <c r="H83" t="str">
        <f>_xlfn.CONCAT(Table1[[#This Row],[Eff pt 1]:[Eff pt 7]])</f>
        <v>ICs - Analog - DAC</v>
      </c>
      <c r="I83" s="6" t="s">
        <v>100</v>
      </c>
      <c r="J83" t="s">
        <v>99</v>
      </c>
      <c r="K83" t="s">
        <v>115</v>
      </c>
      <c r="P83" s="6" t="b">
        <v>0</v>
      </c>
      <c r="Q83" t="b">
        <v>0</v>
      </c>
      <c r="R83" t="b">
        <v>0</v>
      </c>
      <c r="S83" s="5" t="b">
        <v>0</v>
      </c>
      <c r="T83" t="b">
        <v>0</v>
      </c>
      <c r="U83" t="b">
        <v>1</v>
      </c>
      <c r="V83" t="b">
        <v>0</v>
      </c>
      <c r="W83">
        <v>0</v>
      </c>
      <c r="X83" s="6">
        <f>(COUNTIF(Table1[[#This Row],[Spreadsheet]:[Functionality Verified?]],"=TRUE")/7) * 100</f>
        <v>14.285714285714285</v>
      </c>
      <c r="Y83" t="str">
        <f>IF(COUNTBLANK(Table1[[#This Row],[Part 2]])=0,_xlfn.CONCAT(Table1[[#This Row],[Part 1]]," - "),IF(COUNTBLANK(Table1[[#This Row],[Part 1]])=0,Table1[[#This Row],[Part 1]],""))</f>
        <v xml:space="preserve">ICs - </v>
      </c>
      <c r="Z83" t="str">
        <f>IF(COUNTBLANK(Table1[[#This Row],[Part 3]])=0,_xlfn.CONCAT(Table1[[#This Row],[Part 2]]," - "),IF(COUNTBLANK(Table1[[#This Row],[Part 2]])=0,Table1[[#This Row],[Part 2]],""))</f>
        <v xml:space="preserve">Analog - </v>
      </c>
      <c r="AA83" t="str">
        <f>IF(COUNTBLANK(Table1[[#This Row],[Part 4]])=0,_xlfn.CONCAT(Table1[[#This Row],[Part 3]]," - "),IF(COUNTBLANK(Table1[[#This Row],[Part 3]])=0,Table1[[#This Row],[Part 3]],""))</f>
        <v>DAC</v>
      </c>
      <c r="AB83" t="str">
        <f>IF(COUNTBLANK(Table1[[#This Row],[Part 5]])=0,_xlfn.CONCAT(Table1[[#This Row],[Part 4]]," - "),IF(COUNTBLANK(Table1[[#This Row],[Part 4]])=0,Table1[[#This Row],[Part 4]],""))</f>
        <v/>
      </c>
      <c r="AC83" t="str">
        <f>IF(COUNTBLANK(Table1[[#This Row],[Part 6]])=0,_xlfn.CONCAT(Table1[[#This Row],[Part 5]]," - "),IF(COUNTBLANK(Table1[[#This Row],[Part 5]])=0,Table1[[#This Row],[Part 5]],""))</f>
        <v/>
      </c>
      <c r="AD83" t="str">
        <f>IF(COUNTBLANK(Table1[[#This Row],[Part 7]])=0,_xlfn.CONCAT(Table1[[#This Row],[Part 6]]," - "),IF(COUNTBLANK(Table1[[#This Row],[Part 6]])=0,Table1[[#This Row],[Part 6]],""))</f>
        <v/>
      </c>
      <c r="AE83" t="str">
        <f>IF(COUNTBLANK(Table1[[#This Row],[Part 7]])=0,Table1[[#This Row],[Part 7]],"")</f>
        <v/>
      </c>
    </row>
    <row r="84" spans="8:31" x14ac:dyDescent="0.35">
      <c r="H84" t="str">
        <f>_xlfn.CONCAT(Table1[[#This Row],[Eff pt 1]:[Eff pt 7]])</f>
        <v>ICs - Analog - Comparator</v>
      </c>
      <c r="I84" s="6" t="s">
        <v>100</v>
      </c>
      <c r="J84" t="s">
        <v>99</v>
      </c>
      <c r="K84" t="s">
        <v>116</v>
      </c>
      <c r="P84" s="6" t="b">
        <v>0</v>
      </c>
      <c r="Q84" t="b">
        <v>0</v>
      </c>
      <c r="R84" t="b">
        <v>0</v>
      </c>
      <c r="S84" s="5" t="b">
        <v>0</v>
      </c>
      <c r="T84" t="b">
        <v>0</v>
      </c>
      <c r="U84" t="b">
        <v>1</v>
      </c>
      <c r="V84" t="b">
        <v>0</v>
      </c>
      <c r="W84">
        <v>0</v>
      </c>
      <c r="X84" s="6">
        <f>(COUNTIF(Table1[[#This Row],[Spreadsheet]:[Functionality Verified?]],"=TRUE")/7) * 100</f>
        <v>14.285714285714285</v>
      </c>
      <c r="Y84" t="str">
        <f>IF(COUNTBLANK(Table1[[#This Row],[Part 2]])=0,_xlfn.CONCAT(Table1[[#This Row],[Part 1]]," - "),IF(COUNTBLANK(Table1[[#This Row],[Part 1]])=0,Table1[[#This Row],[Part 1]],""))</f>
        <v xml:space="preserve">ICs - </v>
      </c>
      <c r="Z84" t="str">
        <f>IF(COUNTBLANK(Table1[[#This Row],[Part 3]])=0,_xlfn.CONCAT(Table1[[#This Row],[Part 2]]," - "),IF(COUNTBLANK(Table1[[#This Row],[Part 2]])=0,Table1[[#This Row],[Part 2]],""))</f>
        <v xml:space="preserve">Analog - </v>
      </c>
      <c r="AA84" t="str">
        <f>IF(COUNTBLANK(Table1[[#This Row],[Part 4]])=0,_xlfn.CONCAT(Table1[[#This Row],[Part 3]]," - "),IF(COUNTBLANK(Table1[[#This Row],[Part 3]])=0,Table1[[#This Row],[Part 3]],""))</f>
        <v>Comparator</v>
      </c>
      <c r="AB84" t="str">
        <f>IF(COUNTBLANK(Table1[[#This Row],[Part 5]])=0,_xlfn.CONCAT(Table1[[#This Row],[Part 4]]," - "),IF(COUNTBLANK(Table1[[#This Row],[Part 4]])=0,Table1[[#This Row],[Part 4]],""))</f>
        <v/>
      </c>
      <c r="AC84" t="str">
        <f>IF(COUNTBLANK(Table1[[#This Row],[Part 6]])=0,_xlfn.CONCAT(Table1[[#This Row],[Part 5]]," - "),IF(COUNTBLANK(Table1[[#This Row],[Part 5]])=0,Table1[[#This Row],[Part 5]],""))</f>
        <v/>
      </c>
      <c r="AD84" t="str">
        <f>IF(COUNTBLANK(Table1[[#This Row],[Part 7]])=0,_xlfn.CONCAT(Table1[[#This Row],[Part 6]]," - "),IF(COUNTBLANK(Table1[[#This Row],[Part 6]])=0,Table1[[#This Row],[Part 6]],""))</f>
        <v/>
      </c>
      <c r="AE84" t="str">
        <f>IF(COUNTBLANK(Table1[[#This Row],[Part 7]])=0,Table1[[#This Row],[Part 7]],"")</f>
        <v/>
      </c>
    </row>
    <row r="85" spans="8:31" x14ac:dyDescent="0.35">
      <c r="H85" t="str">
        <f>_xlfn.CONCAT(Table1[[#This Row],[Eff pt 1]:[Eff pt 7]])</f>
        <v>Discreet - Transistors - SiCFET</v>
      </c>
      <c r="I85" s="6" t="s">
        <v>89</v>
      </c>
      <c r="J85" t="s">
        <v>194</v>
      </c>
      <c r="K85" t="s">
        <v>95</v>
      </c>
      <c r="P85" s="6" t="b">
        <v>0</v>
      </c>
      <c r="Q85" t="b">
        <v>0</v>
      </c>
      <c r="R85" t="b">
        <v>0</v>
      </c>
      <c r="S85" s="5" t="b">
        <v>0</v>
      </c>
      <c r="T85" t="b">
        <v>1</v>
      </c>
      <c r="U85" t="b">
        <v>0</v>
      </c>
      <c r="V85" t="b">
        <v>0</v>
      </c>
      <c r="W85">
        <v>0</v>
      </c>
      <c r="X85" s="6">
        <f>(COUNTIF(Table1[[#This Row],[Spreadsheet]:[Functionality Verified?]],"=TRUE")/7) * 100</f>
        <v>14.285714285714285</v>
      </c>
      <c r="Y85" t="str">
        <f>IF(COUNTBLANK(Table1[[#This Row],[Part 2]])=0,_xlfn.CONCAT(Table1[[#This Row],[Part 1]]," - "),IF(COUNTBLANK(Table1[[#This Row],[Part 1]])=0,Table1[[#This Row],[Part 1]],""))</f>
        <v xml:space="preserve">Discreet - </v>
      </c>
      <c r="Z85" t="str">
        <f>IF(COUNTBLANK(Table1[[#This Row],[Part 3]])=0,_xlfn.CONCAT(Table1[[#This Row],[Part 2]]," - "),IF(COUNTBLANK(Table1[[#This Row],[Part 2]])=0,Table1[[#This Row],[Part 2]],""))</f>
        <v xml:space="preserve">Transistors - </v>
      </c>
      <c r="AA85" t="str">
        <f>IF(COUNTBLANK(Table1[[#This Row],[Part 4]])=0,_xlfn.CONCAT(Table1[[#This Row],[Part 3]]," - "),IF(COUNTBLANK(Table1[[#This Row],[Part 3]])=0,Table1[[#This Row],[Part 3]],""))</f>
        <v>SiCFET</v>
      </c>
      <c r="AB85" t="str">
        <f>IF(COUNTBLANK(Table1[[#This Row],[Part 5]])=0,_xlfn.CONCAT(Table1[[#This Row],[Part 4]]," - "),IF(COUNTBLANK(Table1[[#This Row],[Part 4]])=0,Table1[[#This Row],[Part 4]],""))</f>
        <v/>
      </c>
      <c r="AC85" t="str">
        <f>IF(COUNTBLANK(Table1[[#This Row],[Part 6]])=0,_xlfn.CONCAT(Table1[[#This Row],[Part 5]]," - "),IF(COUNTBLANK(Table1[[#This Row],[Part 5]])=0,Table1[[#This Row],[Part 5]],""))</f>
        <v/>
      </c>
      <c r="AD85" t="str">
        <f>IF(COUNTBLANK(Table1[[#This Row],[Part 7]])=0,_xlfn.CONCAT(Table1[[#This Row],[Part 6]]," - "),IF(COUNTBLANK(Table1[[#This Row],[Part 6]])=0,Table1[[#This Row],[Part 6]],""))</f>
        <v/>
      </c>
      <c r="AE85" t="str">
        <f>IF(COUNTBLANK(Table1[[#This Row],[Part 7]])=0,Table1[[#This Row],[Part 7]],"")</f>
        <v/>
      </c>
    </row>
    <row r="86" spans="8:31" x14ac:dyDescent="0.35">
      <c r="H86" t="str">
        <f>_xlfn.CONCAT(Table1[[#This Row],[Eff pt 1]:[Eff pt 7]])</f>
        <v>Discreet - Transistors - MOSFET</v>
      </c>
      <c r="I86" s="6" t="s">
        <v>89</v>
      </c>
      <c r="J86" t="s">
        <v>194</v>
      </c>
      <c r="K86" t="s">
        <v>93</v>
      </c>
      <c r="P86" s="6" t="b">
        <v>1</v>
      </c>
      <c r="Q86" t="b">
        <v>1</v>
      </c>
      <c r="R86" t="b">
        <v>1</v>
      </c>
      <c r="S86" s="5" t="b">
        <v>1</v>
      </c>
      <c r="T86" t="b">
        <v>1</v>
      </c>
      <c r="U86" t="b">
        <v>1</v>
      </c>
      <c r="V86" t="b">
        <v>0</v>
      </c>
      <c r="W86">
        <v>0</v>
      </c>
      <c r="X86" s="6">
        <f>(COUNTIF(Table1[[#This Row],[Spreadsheet]:[Functionality Verified?]],"=TRUE")/7) * 100</f>
        <v>85.714285714285708</v>
      </c>
      <c r="Y86" t="str">
        <f>IF(COUNTBLANK(Table1[[#This Row],[Part 2]])=0,_xlfn.CONCAT(Table1[[#This Row],[Part 1]]," - "),IF(COUNTBLANK(Table1[[#This Row],[Part 1]])=0,Table1[[#This Row],[Part 1]],""))</f>
        <v xml:space="preserve">Discreet - </v>
      </c>
      <c r="Z86" t="str">
        <f>IF(COUNTBLANK(Table1[[#This Row],[Part 3]])=0,_xlfn.CONCAT(Table1[[#This Row],[Part 2]]," - "),IF(COUNTBLANK(Table1[[#This Row],[Part 2]])=0,Table1[[#This Row],[Part 2]],""))</f>
        <v xml:space="preserve">Transistors - </v>
      </c>
      <c r="AA86" t="str">
        <f>IF(COUNTBLANK(Table1[[#This Row],[Part 4]])=0,_xlfn.CONCAT(Table1[[#This Row],[Part 3]]," - "),IF(COUNTBLANK(Table1[[#This Row],[Part 3]])=0,Table1[[#This Row],[Part 3]],""))</f>
        <v>MOSFET</v>
      </c>
      <c r="AB86" t="str">
        <f>IF(COUNTBLANK(Table1[[#This Row],[Part 5]])=0,_xlfn.CONCAT(Table1[[#This Row],[Part 4]]," - "),IF(COUNTBLANK(Table1[[#This Row],[Part 4]])=0,Table1[[#This Row],[Part 4]],""))</f>
        <v/>
      </c>
      <c r="AC86" t="str">
        <f>IF(COUNTBLANK(Table1[[#This Row],[Part 6]])=0,_xlfn.CONCAT(Table1[[#This Row],[Part 5]]," - "),IF(COUNTBLANK(Table1[[#This Row],[Part 5]])=0,Table1[[#This Row],[Part 5]],""))</f>
        <v/>
      </c>
      <c r="AD86" t="str">
        <f>IF(COUNTBLANK(Table1[[#This Row],[Part 7]])=0,_xlfn.CONCAT(Table1[[#This Row],[Part 6]]," - "),IF(COUNTBLANK(Table1[[#This Row],[Part 6]])=0,Table1[[#This Row],[Part 6]],""))</f>
        <v/>
      </c>
      <c r="AE86" t="str">
        <f>IF(COUNTBLANK(Table1[[#This Row],[Part 7]])=0,Table1[[#This Row],[Part 7]],"")</f>
        <v/>
      </c>
    </row>
    <row r="87" spans="8:31" x14ac:dyDescent="0.35">
      <c r="H87" t="str">
        <f>_xlfn.CONCAT(Table1[[#This Row],[Eff pt 1]:[Eff pt 7]])</f>
        <v>Discreet - Transistors - JFET</v>
      </c>
      <c r="I87" s="6" t="s">
        <v>89</v>
      </c>
      <c r="J87" t="s">
        <v>194</v>
      </c>
      <c r="K87" t="s">
        <v>96</v>
      </c>
      <c r="P87" s="6" t="b">
        <v>0</v>
      </c>
      <c r="Q87" t="b">
        <v>0</v>
      </c>
      <c r="R87" t="b">
        <v>0</v>
      </c>
      <c r="S87" s="5" t="b">
        <v>0</v>
      </c>
      <c r="T87" t="b">
        <v>1</v>
      </c>
      <c r="U87" t="b">
        <v>0</v>
      </c>
      <c r="V87" t="b">
        <v>0</v>
      </c>
      <c r="W87">
        <v>0</v>
      </c>
      <c r="X87" s="6">
        <f>(COUNTIF(Table1[[#This Row],[Spreadsheet]:[Functionality Verified?]],"=TRUE")/7) * 100</f>
        <v>14.285714285714285</v>
      </c>
      <c r="Y87" t="str">
        <f>IF(COUNTBLANK(Table1[[#This Row],[Part 2]])=0,_xlfn.CONCAT(Table1[[#This Row],[Part 1]]," - "),IF(COUNTBLANK(Table1[[#This Row],[Part 1]])=0,Table1[[#This Row],[Part 1]],""))</f>
        <v xml:space="preserve">Discreet - </v>
      </c>
      <c r="Z87" t="str">
        <f>IF(COUNTBLANK(Table1[[#This Row],[Part 3]])=0,_xlfn.CONCAT(Table1[[#This Row],[Part 2]]," - "),IF(COUNTBLANK(Table1[[#This Row],[Part 2]])=0,Table1[[#This Row],[Part 2]],""))</f>
        <v xml:space="preserve">Transistors - </v>
      </c>
      <c r="AA87" t="str">
        <f>IF(COUNTBLANK(Table1[[#This Row],[Part 4]])=0,_xlfn.CONCAT(Table1[[#This Row],[Part 3]]," - "),IF(COUNTBLANK(Table1[[#This Row],[Part 3]])=0,Table1[[#This Row],[Part 3]],""))</f>
        <v>JFET</v>
      </c>
      <c r="AB87" t="str">
        <f>IF(COUNTBLANK(Table1[[#This Row],[Part 5]])=0,_xlfn.CONCAT(Table1[[#This Row],[Part 4]]," - "),IF(COUNTBLANK(Table1[[#This Row],[Part 4]])=0,Table1[[#This Row],[Part 4]],""))</f>
        <v/>
      </c>
      <c r="AC87" t="str">
        <f>IF(COUNTBLANK(Table1[[#This Row],[Part 6]])=0,_xlfn.CONCAT(Table1[[#This Row],[Part 5]]," - "),IF(COUNTBLANK(Table1[[#This Row],[Part 5]])=0,Table1[[#This Row],[Part 5]],""))</f>
        <v/>
      </c>
      <c r="AD87" t="str">
        <f>IF(COUNTBLANK(Table1[[#This Row],[Part 7]])=0,_xlfn.CONCAT(Table1[[#This Row],[Part 6]]," - "),IF(COUNTBLANK(Table1[[#This Row],[Part 6]])=0,Table1[[#This Row],[Part 6]],""))</f>
        <v/>
      </c>
      <c r="AE87" t="str">
        <f>IF(COUNTBLANK(Table1[[#This Row],[Part 7]])=0,Table1[[#This Row],[Part 7]],"")</f>
        <v/>
      </c>
    </row>
    <row r="88" spans="8:31" x14ac:dyDescent="0.35">
      <c r="H88" t="str">
        <f>_xlfn.CONCAT(Table1[[#This Row],[Eff pt 1]:[Eff pt 7]])</f>
        <v>Discreet - Transistors - GaNFET</v>
      </c>
      <c r="I88" s="6" t="s">
        <v>89</v>
      </c>
      <c r="J88" t="s">
        <v>194</v>
      </c>
      <c r="K88" t="s">
        <v>94</v>
      </c>
      <c r="P88" s="6" t="b">
        <v>0</v>
      </c>
      <c r="Q88" t="b">
        <v>0</v>
      </c>
      <c r="R88" t="b">
        <v>0</v>
      </c>
      <c r="S88" s="5" t="b">
        <v>0</v>
      </c>
      <c r="T88" t="b">
        <v>1</v>
      </c>
      <c r="U88" t="b">
        <v>0</v>
      </c>
      <c r="V88" t="b">
        <v>0</v>
      </c>
      <c r="W88">
        <v>0</v>
      </c>
      <c r="X88" s="6">
        <f>(COUNTIF(Table1[[#This Row],[Spreadsheet]:[Functionality Verified?]],"=TRUE")/7) * 100</f>
        <v>14.285714285714285</v>
      </c>
      <c r="Y88" t="str">
        <f>IF(COUNTBLANK(Table1[[#This Row],[Part 2]])=0,_xlfn.CONCAT(Table1[[#This Row],[Part 1]]," - "),IF(COUNTBLANK(Table1[[#This Row],[Part 1]])=0,Table1[[#This Row],[Part 1]],""))</f>
        <v xml:space="preserve">Discreet - </v>
      </c>
      <c r="Z88" t="str">
        <f>IF(COUNTBLANK(Table1[[#This Row],[Part 3]])=0,_xlfn.CONCAT(Table1[[#This Row],[Part 2]]," - "),IF(COUNTBLANK(Table1[[#This Row],[Part 2]])=0,Table1[[#This Row],[Part 2]],""))</f>
        <v xml:space="preserve">Transistors - </v>
      </c>
      <c r="AA88" t="str">
        <f>IF(COUNTBLANK(Table1[[#This Row],[Part 4]])=0,_xlfn.CONCAT(Table1[[#This Row],[Part 3]]," - "),IF(COUNTBLANK(Table1[[#This Row],[Part 3]])=0,Table1[[#This Row],[Part 3]],""))</f>
        <v>GaNFET</v>
      </c>
      <c r="AB88" t="str">
        <f>IF(COUNTBLANK(Table1[[#This Row],[Part 5]])=0,_xlfn.CONCAT(Table1[[#This Row],[Part 4]]," - "),IF(COUNTBLANK(Table1[[#This Row],[Part 4]])=0,Table1[[#This Row],[Part 4]],""))</f>
        <v/>
      </c>
      <c r="AC88" t="str">
        <f>IF(COUNTBLANK(Table1[[#This Row],[Part 6]])=0,_xlfn.CONCAT(Table1[[#This Row],[Part 5]]," - "),IF(COUNTBLANK(Table1[[#This Row],[Part 5]])=0,Table1[[#This Row],[Part 5]],""))</f>
        <v/>
      </c>
      <c r="AD88" t="str">
        <f>IF(COUNTBLANK(Table1[[#This Row],[Part 7]])=0,_xlfn.CONCAT(Table1[[#This Row],[Part 6]]," - "),IF(COUNTBLANK(Table1[[#This Row],[Part 6]])=0,Table1[[#This Row],[Part 6]],""))</f>
        <v/>
      </c>
      <c r="AE88" t="str">
        <f>IF(COUNTBLANK(Table1[[#This Row],[Part 7]])=0,Table1[[#This Row],[Part 7]],"")</f>
        <v/>
      </c>
    </row>
    <row r="89" spans="8:31" x14ac:dyDescent="0.35">
      <c r="H89" t="str">
        <f>_xlfn.CONCAT(Table1[[#This Row],[Eff pt 1]:[Eff pt 7]])</f>
        <v>Discreet - Transistors - BJT - PNP</v>
      </c>
      <c r="I89" s="6" t="s">
        <v>89</v>
      </c>
      <c r="J89" t="s">
        <v>194</v>
      </c>
      <c r="K89" t="s">
        <v>92</v>
      </c>
      <c r="L89" t="s">
        <v>201</v>
      </c>
      <c r="P89" s="6" t="b">
        <v>0</v>
      </c>
      <c r="Q89" t="b">
        <v>0</v>
      </c>
      <c r="R89" t="b">
        <v>0</v>
      </c>
      <c r="S89" s="5" t="b">
        <v>0</v>
      </c>
      <c r="T89" t="b">
        <v>0</v>
      </c>
      <c r="U89" t="b">
        <v>1</v>
      </c>
      <c r="V89" t="b">
        <v>0</v>
      </c>
      <c r="W89">
        <v>0</v>
      </c>
      <c r="X89" s="6">
        <f>(COUNTIF(Table1[[#This Row],[Spreadsheet]:[Functionality Verified?]],"=TRUE")/7) * 100</f>
        <v>14.285714285714285</v>
      </c>
      <c r="Y89" t="str">
        <f>IF(COUNTBLANK(Table1[[#This Row],[Part 2]])=0,_xlfn.CONCAT(Table1[[#This Row],[Part 1]]," - "),IF(COUNTBLANK(Table1[[#This Row],[Part 1]])=0,Table1[[#This Row],[Part 1]],""))</f>
        <v xml:space="preserve">Discreet - </v>
      </c>
      <c r="Z89" t="str">
        <f>IF(COUNTBLANK(Table1[[#This Row],[Part 3]])=0,_xlfn.CONCAT(Table1[[#This Row],[Part 2]]," - "),IF(COUNTBLANK(Table1[[#This Row],[Part 2]])=0,Table1[[#This Row],[Part 2]],""))</f>
        <v xml:space="preserve">Transistors - </v>
      </c>
      <c r="AA89" t="str">
        <f>IF(COUNTBLANK(Table1[[#This Row],[Part 4]])=0,_xlfn.CONCAT(Table1[[#This Row],[Part 3]]," - "),IF(COUNTBLANK(Table1[[#This Row],[Part 3]])=0,Table1[[#This Row],[Part 3]],""))</f>
        <v xml:space="preserve">BJT - </v>
      </c>
      <c r="AB89" t="str">
        <f>IF(COUNTBLANK(Table1[[#This Row],[Part 5]])=0,_xlfn.CONCAT(Table1[[#This Row],[Part 4]]," - "),IF(COUNTBLANK(Table1[[#This Row],[Part 4]])=0,Table1[[#This Row],[Part 4]],""))</f>
        <v>PNP</v>
      </c>
      <c r="AC89" t="str">
        <f>IF(COUNTBLANK(Table1[[#This Row],[Part 6]])=0,_xlfn.CONCAT(Table1[[#This Row],[Part 5]]," - "),IF(COUNTBLANK(Table1[[#This Row],[Part 5]])=0,Table1[[#This Row],[Part 5]],""))</f>
        <v/>
      </c>
      <c r="AD89" t="str">
        <f>IF(COUNTBLANK(Table1[[#This Row],[Part 7]])=0,_xlfn.CONCAT(Table1[[#This Row],[Part 6]]," - "),IF(COUNTBLANK(Table1[[#This Row],[Part 6]])=0,Table1[[#This Row],[Part 6]],""))</f>
        <v/>
      </c>
      <c r="AE89" t="str">
        <f>IF(COUNTBLANK(Table1[[#This Row],[Part 7]])=0,Table1[[#This Row],[Part 7]],"")</f>
        <v/>
      </c>
    </row>
    <row r="90" spans="8:31" x14ac:dyDescent="0.35">
      <c r="H90" t="str">
        <f>_xlfn.CONCAT(Table1[[#This Row],[Eff pt 1]:[Eff pt 7]])</f>
        <v>Discreet - Diodes - Standard</v>
      </c>
      <c r="I90" s="6" t="s">
        <v>89</v>
      </c>
      <c r="J90" t="s">
        <v>90</v>
      </c>
      <c r="K90" t="s">
        <v>63</v>
      </c>
      <c r="P90" s="6" t="b">
        <v>0</v>
      </c>
      <c r="Q90" t="b">
        <v>0</v>
      </c>
      <c r="R90" t="b">
        <v>0</v>
      </c>
      <c r="S90" s="5" t="b">
        <v>0</v>
      </c>
      <c r="T90" t="b">
        <v>1</v>
      </c>
      <c r="U90" t="b">
        <v>1</v>
      </c>
      <c r="V90" t="b">
        <v>0</v>
      </c>
      <c r="W90">
        <v>0</v>
      </c>
      <c r="X90" s="6">
        <f>(COUNTIF(Table1[[#This Row],[Spreadsheet]:[Functionality Verified?]],"=TRUE")/7) * 100</f>
        <v>28.571428571428569</v>
      </c>
      <c r="Y90" t="str">
        <f>IF(COUNTBLANK(Table1[[#This Row],[Part 2]])=0,_xlfn.CONCAT(Table1[[#This Row],[Part 1]]," - "),IF(COUNTBLANK(Table1[[#This Row],[Part 1]])=0,Table1[[#This Row],[Part 1]],""))</f>
        <v xml:space="preserve">Discreet - </v>
      </c>
      <c r="Z90" t="str">
        <f>IF(COUNTBLANK(Table1[[#This Row],[Part 3]])=0,_xlfn.CONCAT(Table1[[#This Row],[Part 2]]," - "),IF(COUNTBLANK(Table1[[#This Row],[Part 2]])=0,Table1[[#This Row],[Part 2]],""))</f>
        <v xml:space="preserve">Diodes - </v>
      </c>
      <c r="AA90" t="str">
        <f>IF(COUNTBLANK(Table1[[#This Row],[Part 4]])=0,_xlfn.CONCAT(Table1[[#This Row],[Part 3]]," - "),IF(COUNTBLANK(Table1[[#This Row],[Part 3]])=0,Table1[[#This Row],[Part 3]],""))</f>
        <v>Standard</v>
      </c>
      <c r="AB90" t="str">
        <f>IF(COUNTBLANK(Table1[[#This Row],[Part 5]])=0,_xlfn.CONCAT(Table1[[#This Row],[Part 4]]," - "),IF(COUNTBLANK(Table1[[#This Row],[Part 4]])=0,Table1[[#This Row],[Part 4]],""))</f>
        <v/>
      </c>
      <c r="AC90" t="str">
        <f>IF(COUNTBLANK(Table1[[#This Row],[Part 6]])=0,_xlfn.CONCAT(Table1[[#This Row],[Part 5]]," - "),IF(COUNTBLANK(Table1[[#This Row],[Part 5]])=0,Table1[[#This Row],[Part 5]],""))</f>
        <v/>
      </c>
      <c r="AD90" t="str">
        <f>IF(COUNTBLANK(Table1[[#This Row],[Part 7]])=0,_xlfn.CONCAT(Table1[[#This Row],[Part 6]]," - "),IF(COUNTBLANK(Table1[[#This Row],[Part 6]])=0,Table1[[#This Row],[Part 6]],""))</f>
        <v/>
      </c>
      <c r="AE90" t="str">
        <f>IF(COUNTBLANK(Table1[[#This Row],[Part 7]])=0,Table1[[#This Row],[Part 7]],"")</f>
        <v/>
      </c>
    </row>
    <row r="91" spans="8:31" x14ac:dyDescent="0.35">
      <c r="H91" t="str">
        <f>_xlfn.CONCAT(Table1[[#This Row],[Eff pt 1]:[Eff pt 7]])</f>
        <v>Contacts - Ring Terminals</v>
      </c>
      <c r="I91" s="6" t="s">
        <v>75</v>
      </c>
      <c r="J91" t="s">
        <v>77</v>
      </c>
      <c r="P91" s="6" t="b">
        <v>0</v>
      </c>
      <c r="Q91" t="b">
        <v>0</v>
      </c>
      <c r="R91" t="b">
        <v>0</v>
      </c>
      <c r="S91" s="5" t="b">
        <v>0</v>
      </c>
      <c r="T91" t="b">
        <v>0</v>
      </c>
      <c r="U91" t="b">
        <v>0</v>
      </c>
      <c r="V91" t="b">
        <v>0</v>
      </c>
      <c r="W91">
        <v>0</v>
      </c>
      <c r="X91" s="6">
        <f>(COUNTIF(Table1[[#This Row],[Spreadsheet]:[Functionality Verified?]],"=TRUE")/7) * 100</f>
        <v>0</v>
      </c>
      <c r="Y91" t="str">
        <f>IF(COUNTBLANK(Table1[[#This Row],[Part 2]])=0,_xlfn.CONCAT(Table1[[#This Row],[Part 1]]," - "),IF(COUNTBLANK(Table1[[#This Row],[Part 1]])=0,Table1[[#This Row],[Part 1]],""))</f>
        <v xml:space="preserve">Contacts - </v>
      </c>
      <c r="Z91" t="str">
        <f>IF(COUNTBLANK(Table1[[#This Row],[Part 3]])=0,_xlfn.CONCAT(Table1[[#This Row],[Part 2]]," - "),IF(COUNTBLANK(Table1[[#This Row],[Part 2]])=0,Table1[[#This Row],[Part 2]],""))</f>
        <v>Ring Terminals</v>
      </c>
      <c r="AA91" t="str">
        <f>IF(COUNTBLANK(Table1[[#This Row],[Part 4]])=0,_xlfn.CONCAT(Table1[[#This Row],[Part 3]]," - "),IF(COUNTBLANK(Table1[[#This Row],[Part 3]])=0,Table1[[#This Row],[Part 3]],""))</f>
        <v/>
      </c>
      <c r="AB91" t="str">
        <f>IF(COUNTBLANK(Table1[[#This Row],[Part 5]])=0,_xlfn.CONCAT(Table1[[#This Row],[Part 4]]," - "),IF(COUNTBLANK(Table1[[#This Row],[Part 4]])=0,Table1[[#This Row],[Part 4]],""))</f>
        <v/>
      </c>
      <c r="AC91" t="str">
        <f>IF(COUNTBLANK(Table1[[#This Row],[Part 6]])=0,_xlfn.CONCAT(Table1[[#This Row],[Part 5]]," - "),IF(COUNTBLANK(Table1[[#This Row],[Part 5]])=0,Table1[[#This Row],[Part 5]],""))</f>
        <v/>
      </c>
      <c r="AD91" t="str">
        <f>IF(COUNTBLANK(Table1[[#This Row],[Part 7]])=0,_xlfn.CONCAT(Table1[[#This Row],[Part 6]]," - "),IF(COUNTBLANK(Table1[[#This Row],[Part 6]])=0,Table1[[#This Row],[Part 6]],""))</f>
        <v/>
      </c>
      <c r="AE91" t="str">
        <f>IF(COUNTBLANK(Table1[[#This Row],[Part 7]])=0,Table1[[#This Row],[Part 7]],"")</f>
        <v/>
      </c>
    </row>
    <row r="92" spans="8:31" x14ac:dyDescent="0.35">
      <c r="H92" t="str">
        <f>_xlfn.CONCAT(Table1[[#This Row],[Eff pt 1]:[Eff pt 7]])</f>
        <v>Contacts - Ferrules</v>
      </c>
      <c r="I92" s="6" t="s">
        <v>75</v>
      </c>
      <c r="J92" t="s">
        <v>76</v>
      </c>
      <c r="P92" s="6" t="b">
        <v>0</v>
      </c>
      <c r="Q92" t="b">
        <v>0</v>
      </c>
      <c r="R92" t="b">
        <v>0</v>
      </c>
      <c r="S92" s="5" t="b">
        <v>0</v>
      </c>
      <c r="T92" t="b">
        <v>0</v>
      </c>
      <c r="U92" t="b">
        <v>0</v>
      </c>
      <c r="V92" t="b">
        <v>0</v>
      </c>
      <c r="W92">
        <v>0</v>
      </c>
      <c r="X92" s="6">
        <f>(COUNTIF(Table1[[#This Row],[Spreadsheet]:[Functionality Verified?]],"=TRUE")/7) * 100</f>
        <v>0</v>
      </c>
      <c r="Y92" t="str">
        <f>IF(COUNTBLANK(Table1[[#This Row],[Part 2]])=0,_xlfn.CONCAT(Table1[[#This Row],[Part 1]]," - "),IF(COUNTBLANK(Table1[[#This Row],[Part 1]])=0,Table1[[#This Row],[Part 1]],""))</f>
        <v xml:space="preserve">Contacts - </v>
      </c>
      <c r="Z92" t="str">
        <f>IF(COUNTBLANK(Table1[[#This Row],[Part 3]])=0,_xlfn.CONCAT(Table1[[#This Row],[Part 2]]," - "),IF(COUNTBLANK(Table1[[#This Row],[Part 2]])=0,Table1[[#This Row],[Part 2]],""))</f>
        <v>Ferrules</v>
      </c>
      <c r="AA92" t="str">
        <f>IF(COUNTBLANK(Table1[[#This Row],[Part 4]])=0,_xlfn.CONCAT(Table1[[#This Row],[Part 3]]," - "),IF(COUNTBLANK(Table1[[#This Row],[Part 3]])=0,Table1[[#This Row],[Part 3]],""))</f>
        <v/>
      </c>
      <c r="AB92" t="str">
        <f>IF(COUNTBLANK(Table1[[#This Row],[Part 5]])=0,_xlfn.CONCAT(Table1[[#This Row],[Part 4]]," - "),IF(COUNTBLANK(Table1[[#This Row],[Part 4]])=0,Table1[[#This Row],[Part 4]],""))</f>
        <v/>
      </c>
      <c r="AC92" t="str">
        <f>IF(COUNTBLANK(Table1[[#This Row],[Part 6]])=0,_xlfn.CONCAT(Table1[[#This Row],[Part 5]]," - "),IF(COUNTBLANK(Table1[[#This Row],[Part 5]])=0,Table1[[#This Row],[Part 5]],""))</f>
        <v/>
      </c>
      <c r="AD92" t="str">
        <f>IF(COUNTBLANK(Table1[[#This Row],[Part 7]])=0,_xlfn.CONCAT(Table1[[#This Row],[Part 6]]," - "),IF(COUNTBLANK(Table1[[#This Row],[Part 6]])=0,Table1[[#This Row],[Part 6]],""))</f>
        <v/>
      </c>
      <c r="AE92" t="str">
        <f>IF(COUNTBLANK(Table1[[#This Row],[Part 7]])=0,Table1[[#This Row],[Part 7]],"")</f>
        <v/>
      </c>
    </row>
    <row r="93" spans="8:31" x14ac:dyDescent="0.35">
      <c r="H93" t="str">
        <f>_xlfn.CONCAT(Table1[[#This Row],[Eff pt 1]:[Eff pt 7]])</f>
        <v>Contacts - Banana Plugs</v>
      </c>
      <c r="I93" s="6" t="s">
        <v>75</v>
      </c>
      <c r="J93" t="s">
        <v>78</v>
      </c>
      <c r="P93" s="6" t="b">
        <v>0</v>
      </c>
      <c r="Q93" t="b">
        <v>0</v>
      </c>
      <c r="R93" t="b">
        <v>0</v>
      </c>
      <c r="S93" s="5" t="b">
        <v>0</v>
      </c>
      <c r="T93" t="b">
        <v>0</v>
      </c>
      <c r="U93" t="b">
        <v>0</v>
      </c>
      <c r="V93" t="b">
        <v>0</v>
      </c>
      <c r="W93">
        <v>0</v>
      </c>
      <c r="X93" s="6">
        <f>(COUNTIF(Table1[[#This Row],[Spreadsheet]:[Functionality Verified?]],"=TRUE")/7) * 100</f>
        <v>0</v>
      </c>
      <c r="Y93" t="str">
        <f>IF(COUNTBLANK(Table1[[#This Row],[Part 2]])=0,_xlfn.CONCAT(Table1[[#This Row],[Part 1]]," - "),IF(COUNTBLANK(Table1[[#This Row],[Part 1]])=0,Table1[[#This Row],[Part 1]],""))</f>
        <v xml:space="preserve">Contacts - </v>
      </c>
      <c r="Z93" t="str">
        <f>IF(COUNTBLANK(Table1[[#This Row],[Part 3]])=0,_xlfn.CONCAT(Table1[[#This Row],[Part 2]]," - "),IF(COUNTBLANK(Table1[[#This Row],[Part 2]])=0,Table1[[#This Row],[Part 2]],""))</f>
        <v>Banana Plugs</v>
      </c>
      <c r="AA93" t="str">
        <f>IF(COUNTBLANK(Table1[[#This Row],[Part 4]])=0,_xlfn.CONCAT(Table1[[#This Row],[Part 3]]," - "),IF(COUNTBLANK(Table1[[#This Row],[Part 3]])=0,Table1[[#This Row],[Part 3]],""))</f>
        <v/>
      </c>
      <c r="AB93" t="str">
        <f>IF(COUNTBLANK(Table1[[#This Row],[Part 5]])=0,_xlfn.CONCAT(Table1[[#This Row],[Part 4]]," - "),IF(COUNTBLANK(Table1[[#This Row],[Part 4]])=0,Table1[[#This Row],[Part 4]],""))</f>
        <v/>
      </c>
      <c r="AC93" t="str">
        <f>IF(COUNTBLANK(Table1[[#This Row],[Part 6]])=0,_xlfn.CONCAT(Table1[[#This Row],[Part 5]]," - "),IF(COUNTBLANK(Table1[[#This Row],[Part 5]])=0,Table1[[#This Row],[Part 5]],""))</f>
        <v/>
      </c>
      <c r="AD93" t="str">
        <f>IF(COUNTBLANK(Table1[[#This Row],[Part 7]])=0,_xlfn.CONCAT(Table1[[#This Row],[Part 6]]," - "),IF(COUNTBLANK(Table1[[#This Row],[Part 6]])=0,Table1[[#This Row],[Part 6]],""))</f>
        <v/>
      </c>
      <c r="AE93" t="str">
        <f>IF(COUNTBLANK(Table1[[#This Row],[Part 7]])=0,Table1[[#This Row],[Part 7]],"")</f>
        <v/>
      </c>
    </row>
    <row r="94" spans="8:31" x14ac:dyDescent="0.35">
      <c r="H94" t="str">
        <f>_xlfn.CONCAT(Table1[[#This Row],[Eff pt 1]:[Eff pt 7]])</f>
        <v>Connectors - Screw Connectors</v>
      </c>
      <c r="I94" s="6" t="s">
        <v>34</v>
      </c>
      <c r="J94" t="s">
        <v>53</v>
      </c>
      <c r="P94" s="6" t="b">
        <v>0</v>
      </c>
      <c r="Q94" t="b">
        <v>0</v>
      </c>
      <c r="R94" t="b">
        <v>0</v>
      </c>
      <c r="S94" s="5" t="b">
        <v>0</v>
      </c>
      <c r="T94" t="b">
        <v>0</v>
      </c>
      <c r="U94" t="b">
        <v>0</v>
      </c>
      <c r="V94" t="b">
        <v>0</v>
      </c>
      <c r="W94">
        <v>0</v>
      </c>
      <c r="X94" s="6">
        <f>(COUNTIF(Table1[[#This Row],[Spreadsheet]:[Functionality Verified?]],"=TRUE")/7) * 100</f>
        <v>0</v>
      </c>
      <c r="Y94" t="str">
        <f>IF(COUNTBLANK(Table1[[#This Row],[Part 2]])=0,_xlfn.CONCAT(Table1[[#This Row],[Part 1]]," - "),IF(COUNTBLANK(Table1[[#This Row],[Part 1]])=0,Table1[[#This Row],[Part 1]],""))</f>
        <v xml:space="preserve">Connectors - </v>
      </c>
      <c r="Z94" t="str">
        <f>IF(COUNTBLANK(Table1[[#This Row],[Part 3]])=0,_xlfn.CONCAT(Table1[[#This Row],[Part 2]]," - "),IF(COUNTBLANK(Table1[[#This Row],[Part 2]])=0,Table1[[#This Row],[Part 2]],""))</f>
        <v>Screw Connectors</v>
      </c>
      <c r="AA94" t="str">
        <f>IF(COUNTBLANK(Table1[[#This Row],[Part 4]])=0,_xlfn.CONCAT(Table1[[#This Row],[Part 3]]," - "),IF(COUNTBLANK(Table1[[#This Row],[Part 3]])=0,Table1[[#This Row],[Part 3]],""))</f>
        <v/>
      </c>
      <c r="AB94" t="str">
        <f>IF(COUNTBLANK(Table1[[#This Row],[Part 5]])=0,_xlfn.CONCAT(Table1[[#This Row],[Part 4]]," - "),IF(COUNTBLANK(Table1[[#This Row],[Part 4]])=0,Table1[[#This Row],[Part 4]],""))</f>
        <v/>
      </c>
      <c r="AC94" t="str">
        <f>IF(COUNTBLANK(Table1[[#This Row],[Part 6]])=0,_xlfn.CONCAT(Table1[[#This Row],[Part 5]]," - "),IF(COUNTBLANK(Table1[[#This Row],[Part 5]])=0,Table1[[#This Row],[Part 5]],""))</f>
        <v/>
      </c>
      <c r="AD94" t="str">
        <f>IF(COUNTBLANK(Table1[[#This Row],[Part 7]])=0,_xlfn.CONCAT(Table1[[#This Row],[Part 6]]," - "),IF(COUNTBLANK(Table1[[#This Row],[Part 6]])=0,Table1[[#This Row],[Part 6]],""))</f>
        <v/>
      </c>
      <c r="AE94" t="str">
        <f>IF(COUNTBLANK(Table1[[#This Row],[Part 7]])=0,Table1[[#This Row],[Part 7]],"")</f>
        <v/>
      </c>
    </row>
    <row r="95" spans="8:31" x14ac:dyDescent="0.35">
      <c r="H95" t="str">
        <f>_xlfn.CONCAT(Table1[[#This Row],[Eff pt 1]:[Eff pt 7]])</f>
        <v>Connectors - Power Entry Modules</v>
      </c>
      <c r="I95" s="6" t="s">
        <v>34</v>
      </c>
      <c r="J95" t="s">
        <v>60</v>
      </c>
      <c r="P95" s="6" t="b">
        <v>0</v>
      </c>
      <c r="Q95" t="b">
        <v>0</v>
      </c>
      <c r="R95" t="b">
        <v>0</v>
      </c>
      <c r="S95" s="5" t="b">
        <v>0</v>
      </c>
      <c r="T95" t="b">
        <v>0</v>
      </c>
      <c r="U95" t="b">
        <v>0</v>
      </c>
      <c r="V95" t="b">
        <v>0</v>
      </c>
      <c r="W95">
        <v>0</v>
      </c>
      <c r="X95" s="6">
        <f>(COUNTIF(Table1[[#This Row],[Spreadsheet]:[Functionality Verified?]],"=TRUE")/7) * 100</f>
        <v>0</v>
      </c>
      <c r="Y95" t="str">
        <f>IF(COUNTBLANK(Table1[[#This Row],[Part 2]])=0,_xlfn.CONCAT(Table1[[#This Row],[Part 1]]," - "),IF(COUNTBLANK(Table1[[#This Row],[Part 1]])=0,Table1[[#This Row],[Part 1]],""))</f>
        <v xml:space="preserve">Connectors - </v>
      </c>
      <c r="Z95" t="str">
        <f>IF(COUNTBLANK(Table1[[#This Row],[Part 3]])=0,_xlfn.CONCAT(Table1[[#This Row],[Part 2]]," - "),IF(COUNTBLANK(Table1[[#This Row],[Part 2]])=0,Table1[[#This Row],[Part 2]],""))</f>
        <v>Power Entry Modules</v>
      </c>
      <c r="AA95" t="str">
        <f>IF(COUNTBLANK(Table1[[#This Row],[Part 4]])=0,_xlfn.CONCAT(Table1[[#This Row],[Part 3]]," - "),IF(COUNTBLANK(Table1[[#This Row],[Part 3]])=0,Table1[[#This Row],[Part 3]],""))</f>
        <v/>
      </c>
      <c r="AB95" t="str">
        <f>IF(COUNTBLANK(Table1[[#This Row],[Part 5]])=0,_xlfn.CONCAT(Table1[[#This Row],[Part 4]]," - "),IF(COUNTBLANK(Table1[[#This Row],[Part 4]])=0,Table1[[#This Row],[Part 4]],""))</f>
        <v/>
      </c>
      <c r="AC95" t="str">
        <f>IF(COUNTBLANK(Table1[[#This Row],[Part 6]])=0,_xlfn.CONCAT(Table1[[#This Row],[Part 5]]," - "),IF(COUNTBLANK(Table1[[#This Row],[Part 5]])=0,Table1[[#This Row],[Part 5]],""))</f>
        <v/>
      </c>
      <c r="AD95" t="str">
        <f>IF(COUNTBLANK(Table1[[#This Row],[Part 7]])=0,_xlfn.CONCAT(Table1[[#This Row],[Part 6]]," - "),IF(COUNTBLANK(Table1[[#This Row],[Part 6]])=0,Table1[[#This Row],[Part 6]],""))</f>
        <v/>
      </c>
      <c r="AE95" t="str">
        <f>IF(COUNTBLANK(Table1[[#This Row],[Part 7]])=0,Table1[[#This Row],[Part 7]],"")</f>
        <v/>
      </c>
    </row>
    <row r="96" spans="8:31" x14ac:dyDescent="0.35">
      <c r="H96" t="str">
        <f>_xlfn.CONCAT(Table1[[#This Row],[Eff pt 1]:[Eff pt 7]])</f>
        <v>Connectors - Jumpers</v>
      </c>
      <c r="I96" s="6" t="s">
        <v>34</v>
      </c>
      <c r="J96" t="s">
        <v>187</v>
      </c>
      <c r="P96" s="6" t="b">
        <v>0</v>
      </c>
      <c r="Q96" t="b">
        <v>0</v>
      </c>
      <c r="R96" t="b">
        <v>0</v>
      </c>
      <c r="S96" s="5" t="b">
        <v>0</v>
      </c>
      <c r="T96" t="b">
        <v>0</v>
      </c>
      <c r="U96" t="b">
        <v>0</v>
      </c>
      <c r="V96" t="b">
        <v>0</v>
      </c>
      <c r="W96">
        <v>0</v>
      </c>
      <c r="X96" s="6">
        <f>(COUNTIF(Table1[[#This Row],[Spreadsheet]:[Functionality Verified?]],"=TRUE")/7) * 100</f>
        <v>0</v>
      </c>
      <c r="Y96" t="str">
        <f>IF(COUNTBLANK(Table1[[#This Row],[Part 2]])=0,_xlfn.CONCAT(Table1[[#This Row],[Part 1]]," - "),IF(COUNTBLANK(Table1[[#This Row],[Part 1]])=0,Table1[[#This Row],[Part 1]],""))</f>
        <v xml:space="preserve">Connectors - </v>
      </c>
      <c r="Z96" t="str">
        <f>IF(COUNTBLANK(Table1[[#This Row],[Part 3]])=0,_xlfn.CONCAT(Table1[[#This Row],[Part 2]]," - "),IF(COUNTBLANK(Table1[[#This Row],[Part 2]])=0,Table1[[#This Row],[Part 2]],""))</f>
        <v>Jumpers</v>
      </c>
      <c r="AA96" t="str">
        <f>IF(COUNTBLANK(Table1[[#This Row],[Part 4]])=0,_xlfn.CONCAT(Table1[[#This Row],[Part 3]]," - "),IF(COUNTBLANK(Table1[[#This Row],[Part 3]])=0,Table1[[#This Row],[Part 3]],""))</f>
        <v/>
      </c>
      <c r="AB96" t="str">
        <f>IF(COUNTBLANK(Table1[[#This Row],[Part 5]])=0,_xlfn.CONCAT(Table1[[#This Row],[Part 4]]," - "),IF(COUNTBLANK(Table1[[#This Row],[Part 4]])=0,Table1[[#This Row],[Part 4]],""))</f>
        <v/>
      </c>
      <c r="AC96" t="str">
        <f>IF(COUNTBLANK(Table1[[#This Row],[Part 6]])=0,_xlfn.CONCAT(Table1[[#This Row],[Part 5]]," - "),IF(COUNTBLANK(Table1[[#This Row],[Part 5]])=0,Table1[[#This Row],[Part 5]],""))</f>
        <v/>
      </c>
      <c r="AD96" t="str">
        <f>IF(COUNTBLANK(Table1[[#This Row],[Part 7]])=0,_xlfn.CONCAT(Table1[[#This Row],[Part 6]]," - "),IF(COUNTBLANK(Table1[[#This Row],[Part 6]])=0,Table1[[#This Row],[Part 6]],""))</f>
        <v/>
      </c>
      <c r="AE96" t="str">
        <f>IF(COUNTBLANK(Table1[[#This Row],[Part 7]])=0,Table1[[#This Row],[Part 7]],"")</f>
        <v/>
      </c>
    </row>
    <row r="97" spans="8:31" x14ac:dyDescent="0.35">
      <c r="H97" t="str">
        <f>_xlfn.CONCAT(Table1[[#This Row],[Eff pt 1]:[Eff pt 7]])</f>
        <v>Connectors - Flat Flex</v>
      </c>
      <c r="I97" s="6" t="s">
        <v>34</v>
      </c>
      <c r="J97" t="s">
        <v>62</v>
      </c>
      <c r="P97" s="6" t="b">
        <v>0</v>
      </c>
      <c r="Q97" t="b">
        <v>0</v>
      </c>
      <c r="R97" t="b">
        <v>0</v>
      </c>
      <c r="S97" s="5" t="b">
        <v>1</v>
      </c>
      <c r="T97" t="b">
        <v>0</v>
      </c>
      <c r="U97" t="b">
        <v>0</v>
      </c>
      <c r="V97" t="b">
        <v>0</v>
      </c>
      <c r="W97">
        <v>0</v>
      </c>
      <c r="X97" s="6">
        <f>(COUNTIF(Table1[[#This Row],[Spreadsheet]:[Functionality Verified?]],"=TRUE")/7) * 100</f>
        <v>14.285714285714285</v>
      </c>
      <c r="Y97" t="str">
        <f>IF(COUNTBLANK(Table1[[#This Row],[Part 2]])=0,_xlfn.CONCAT(Table1[[#This Row],[Part 1]]," - "),IF(COUNTBLANK(Table1[[#This Row],[Part 1]])=0,Table1[[#This Row],[Part 1]],""))</f>
        <v xml:space="preserve">Connectors - </v>
      </c>
      <c r="Z97" t="str">
        <f>IF(COUNTBLANK(Table1[[#This Row],[Part 3]])=0,_xlfn.CONCAT(Table1[[#This Row],[Part 2]]," - "),IF(COUNTBLANK(Table1[[#This Row],[Part 2]])=0,Table1[[#This Row],[Part 2]],""))</f>
        <v>Flat Flex</v>
      </c>
      <c r="AA97" t="str">
        <f>IF(COUNTBLANK(Table1[[#This Row],[Part 4]])=0,_xlfn.CONCAT(Table1[[#This Row],[Part 3]]," - "),IF(COUNTBLANK(Table1[[#This Row],[Part 3]])=0,Table1[[#This Row],[Part 3]],""))</f>
        <v/>
      </c>
      <c r="AB97" t="str">
        <f>IF(COUNTBLANK(Table1[[#This Row],[Part 5]])=0,_xlfn.CONCAT(Table1[[#This Row],[Part 4]]," - "),IF(COUNTBLANK(Table1[[#This Row],[Part 4]])=0,Table1[[#This Row],[Part 4]],""))</f>
        <v/>
      </c>
      <c r="AC97" t="str">
        <f>IF(COUNTBLANK(Table1[[#This Row],[Part 6]])=0,_xlfn.CONCAT(Table1[[#This Row],[Part 5]]," - "),IF(COUNTBLANK(Table1[[#This Row],[Part 5]])=0,Table1[[#This Row],[Part 5]],""))</f>
        <v/>
      </c>
      <c r="AD97" t="str">
        <f>IF(COUNTBLANK(Table1[[#This Row],[Part 7]])=0,_xlfn.CONCAT(Table1[[#This Row],[Part 6]]," - "),IF(COUNTBLANK(Table1[[#This Row],[Part 6]])=0,Table1[[#This Row],[Part 6]],""))</f>
        <v/>
      </c>
      <c r="AE97" t="str">
        <f>IF(COUNTBLANK(Table1[[#This Row],[Part 7]])=0,Table1[[#This Row],[Part 7]],"")</f>
        <v/>
      </c>
    </row>
    <row r="98" spans="8:31" x14ac:dyDescent="0.35">
      <c r="H98" t="str">
        <f>_xlfn.CONCAT(Table1[[#This Row],[Eff pt 1]:[Eff pt 7]])</f>
        <v>Connectors - D-Sub - Standard - Male - PCB Mount</v>
      </c>
      <c r="I98" s="6" t="s">
        <v>34</v>
      </c>
      <c r="J98" t="s">
        <v>66</v>
      </c>
      <c r="K98" t="s">
        <v>63</v>
      </c>
      <c r="L98" t="s">
        <v>67</v>
      </c>
      <c r="M98" t="s">
        <v>69</v>
      </c>
      <c r="P98" s="6" t="b">
        <v>0</v>
      </c>
      <c r="Q98" t="b">
        <v>0</v>
      </c>
      <c r="R98" t="b">
        <v>0</v>
      </c>
      <c r="S98" s="5" t="b">
        <v>0</v>
      </c>
      <c r="T98" t="b">
        <v>0</v>
      </c>
      <c r="U98" t="b">
        <v>0</v>
      </c>
      <c r="V98" t="b">
        <v>0</v>
      </c>
      <c r="W98">
        <v>0</v>
      </c>
      <c r="X98" s="6">
        <f>(COUNTIF(Table1[[#This Row],[Spreadsheet]:[Functionality Verified?]],"=TRUE")/7) * 100</f>
        <v>0</v>
      </c>
      <c r="Y98" t="str">
        <f>IF(COUNTBLANK(Table1[[#This Row],[Part 2]])=0,_xlfn.CONCAT(Table1[[#This Row],[Part 1]]," - "),IF(COUNTBLANK(Table1[[#This Row],[Part 1]])=0,Table1[[#This Row],[Part 1]],""))</f>
        <v xml:space="preserve">Connectors - </v>
      </c>
      <c r="Z98" t="str">
        <f>IF(COUNTBLANK(Table1[[#This Row],[Part 3]])=0,_xlfn.CONCAT(Table1[[#This Row],[Part 2]]," - "),IF(COUNTBLANK(Table1[[#This Row],[Part 2]])=0,Table1[[#This Row],[Part 2]],""))</f>
        <v xml:space="preserve">D-Sub - </v>
      </c>
      <c r="AA98" t="str">
        <f>IF(COUNTBLANK(Table1[[#This Row],[Part 4]])=0,_xlfn.CONCAT(Table1[[#This Row],[Part 3]]," - "),IF(COUNTBLANK(Table1[[#This Row],[Part 3]])=0,Table1[[#This Row],[Part 3]],""))</f>
        <v xml:space="preserve">Standard - </v>
      </c>
      <c r="AB98" t="str">
        <f>IF(COUNTBLANK(Table1[[#This Row],[Part 5]])=0,_xlfn.CONCAT(Table1[[#This Row],[Part 4]]," - "),IF(COUNTBLANK(Table1[[#This Row],[Part 4]])=0,Table1[[#This Row],[Part 4]],""))</f>
        <v xml:space="preserve">Male - </v>
      </c>
      <c r="AC98" t="str">
        <f>IF(COUNTBLANK(Table1[[#This Row],[Part 6]])=0,_xlfn.CONCAT(Table1[[#This Row],[Part 5]]," - "),IF(COUNTBLANK(Table1[[#This Row],[Part 5]])=0,Table1[[#This Row],[Part 5]],""))</f>
        <v>PCB Mount</v>
      </c>
      <c r="AD98" t="str">
        <f>IF(COUNTBLANK(Table1[[#This Row],[Part 7]])=0,_xlfn.CONCAT(Table1[[#This Row],[Part 6]]," - "),IF(COUNTBLANK(Table1[[#This Row],[Part 6]])=0,Table1[[#This Row],[Part 6]],""))</f>
        <v/>
      </c>
      <c r="AE98" t="str">
        <f>IF(COUNTBLANK(Table1[[#This Row],[Part 7]])=0,Table1[[#This Row],[Part 7]],"")</f>
        <v/>
      </c>
    </row>
    <row r="99" spans="8:31" x14ac:dyDescent="0.35">
      <c r="H99" t="str">
        <f>_xlfn.CONCAT(Table1[[#This Row],[Eff pt 1]:[Eff pt 7]])</f>
        <v>Connectors - D-Sub - Standard - Male - Inline</v>
      </c>
      <c r="I99" s="6" t="s">
        <v>34</v>
      </c>
      <c r="J99" t="s">
        <v>66</v>
      </c>
      <c r="K99" t="s">
        <v>63</v>
      </c>
      <c r="L99" t="s">
        <v>67</v>
      </c>
      <c r="M99" t="s">
        <v>70</v>
      </c>
      <c r="P99" s="6" t="b">
        <v>0</v>
      </c>
      <c r="Q99" t="b">
        <v>0</v>
      </c>
      <c r="R99" t="b">
        <v>0</v>
      </c>
      <c r="S99" s="5" t="b">
        <v>0</v>
      </c>
      <c r="T99" t="b">
        <v>0</v>
      </c>
      <c r="U99" t="b">
        <v>0</v>
      </c>
      <c r="V99" t="b">
        <v>0</v>
      </c>
      <c r="W99">
        <v>0</v>
      </c>
      <c r="X99" s="6">
        <f>(COUNTIF(Table1[[#This Row],[Spreadsheet]:[Functionality Verified?]],"=TRUE")/7) * 100</f>
        <v>0</v>
      </c>
      <c r="Y99" t="str">
        <f>IF(COUNTBLANK(Table1[[#This Row],[Part 2]])=0,_xlfn.CONCAT(Table1[[#This Row],[Part 1]]," - "),IF(COUNTBLANK(Table1[[#This Row],[Part 1]])=0,Table1[[#This Row],[Part 1]],""))</f>
        <v xml:space="preserve">Connectors - </v>
      </c>
      <c r="Z99" t="str">
        <f>IF(COUNTBLANK(Table1[[#This Row],[Part 3]])=0,_xlfn.CONCAT(Table1[[#This Row],[Part 2]]," - "),IF(COUNTBLANK(Table1[[#This Row],[Part 2]])=0,Table1[[#This Row],[Part 2]],""))</f>
        <v xml:space="preserve">D-Sub - </v>
      </c>
      <c r="AA99" t="str">
        <f>IF(COUNTBLANK(Table1[[#This Row],[Part 4]])=0,_xlfn.CONCAT(Table1[[#This Row],[Part 3]]," - "),IF(COUNTBLANK(Table1[[#This Row],[Part 3]])=0,Table1[[#This Row],[Part 3]],""))</f>
        <v xml:space="preserve">Standard - </v>
      </c>
      <c r="AB99" t="str">
        <f>IF(COUNTBLANK(Table1[[#This Row],[Part 5]])=0,_xlfn.CONCAT(Table1[[#This Row],[Part 4]]," - "),IF(COUNTBLANK(Table1[[#This Row],[Part 4]])=0,Table1[[#This Row],[Part 4]],""))</f>
        <v xml:space="preserve">Male - </v>
      </c>
      <c r="AC99" t="str">
        <f>IF(COUNTBLANK(Table1[[#This Row],[Part 6]])=0,_xlfn.CONCAT(Table1[[#This Row],[Part 5]]," - "),IF(COUNTBLANK(Table1[[#This Row],[Part 5]])=0,Table1[[#This Row],[Part 5]],""))</f>
        <v>Inline</v>
      </c>
      <c r="AD99" t="str">
        <f>IF(COUNTBLANK(Table1[[#This Row],[Part 7]])=0,_xlfn.CONCAT(Table1[[#This Row],[Part 6]]," - "),IF(COUNTBLANK(Table1[[#This Row],[Part 6]])=0,Table1[[#This Row],[Part 6]],""))</f>
        <v/>
      </c>
      <c r="AE99" t="str">
        <f>IF(COUNTBLANK(Table1[[#This Row],[Part 7]])=0,Table1[[#This Row],[Part 7]],"")</f>
        <v/>
      </c>
    </row>
    <row r="100" spans="8:31" x14ac:dyDescent="0.35">
      <c r="H100" t="str">
        <f>_xlfn.CONCAT(Table1[[#This Row],[Eff pt 1]:[Eff pt 7]])</f>
        <v>Connectors - D-Sub - Standard - Female - PCB Mount</v>
      </c>
      <c r="I100" s="6" t="s">
        <v>34</v>
      </c>
      <c r="J100" t="s">
        <v>66</v>
      </c>
      <c r="K100" t="s">
        <v>63</v>
      </c>
      <c r="L100" t="s">
        <v>68</v>
      </c>
      <c r="M100" t="s">
        <v>69</v>
      </c>
      <c r="P100" s="6" t="b">
        <v>0</v>
      </c>
      <c r="Q100" t="b">
        <v>0</v>
      </c>
      <c r="R100" t="b">
        <v>0</v>
      </c>
      <c r="S100" s="5" t="b">
        <v>0</v>
      </c>
      <c r="T100" t="b">
        <v>0</v>
      </c>
      <c r="U100" t="b">
        <v>0</v>
      </c>
      <c r="V100" t="b">
        <v>0</v>
      </c>
      <c r="W100">
        <v>0</v>
      </c>
      <c r="X100" s="6">
        <f>(COUNTIF(Table1[[#This Row],[Spreadsheet]:[Functionality Verified?]],"=TRUE")/7) * 100</f>
        <v>0</v>
      </c>
      <c r="Y100" t="str">
        <f>IF(COUNTBLANK(Table1[[#This Row],[Part 2]])=0,_xlfn.CONCAT(Table1[[#This Row],[Part 1]]," - "),IF(COUNTBLANK(Table1[[#This Row],[Part 1]])=0,Table1[[#This Row],[Part 1]],""))</f>
        <v xml:space="preserve">Connectors - </v>
      </c>
      <c r="Z100" t="str">
        <f>IF(COUNTBLANK(Table1[[#This Row],[Part 3]])=0,_xlfn.CONCAT(Table1[[#This Row],[Part 2]]," - "),IF(COUNTBLANK(Table1[[#This Row],[Part 2]])=0,Table1[[#This Row],[Part 2]],""))</f>
        <v xml:space="preserve">D-Sub - </v>
      </c>
      <c r="AA100" t="str">
        <f>IF(COUNTBLANK(Table1[[#This Row],[Part 4]])=0,_xlfn.CONCAT(Table1[[#This Row],[Part 3]]," - "),IF(COUNTBLANK(Table1[[#This Row],[Part 3]])=0,Table1[[#This Row],[Part 3]],""))</f>
        <v xml:space="preserve">Standard - </v>
      </c>
      <c r="AB100" t="str">
        <f>IF(COUNTBLANK(Table1[[#This Row],[Part 5]])=0,_xlfn.CONCAT(Table1[[#This Row],[Part 4]]," - "),IF(COUNTBLANK(Table1[[#This Row],[Part 4]])=0,Table1[[#This Row],[Part 4]],""))</f>
        <v xml:space="preserve">Female - </v>
      </c>
      <c r="AC100" t="str">
        <f>IF(COUNTBLANK(Table1[[#This Row],[Part 6]])=0,_xlfn.CONCAT(Table1[[#This Row],[Part 5]]," - "),IF(COUNTBLANK(Table1[[#This Row],[Part 5]])=0,Table1[[#This Row],[Part 5]],""))</f>
        <v>PCB Mount</v>
      </c>
      <c r="AD100" t="str">
        <f>IF(COUNTBLANK(Table1[[#This Row],[Part 7]])=0,_xlfn.CONCAT(Table1[[#This Row],[Part 6]]," - "),IF(COUNTBLANK(Table1[[#This Row],[Part 6]])=0,Table1[[#This Row],[Part 6]],""))</f>
        <v/>
      </c>
      <c r="AE100" t="str">
        <f>IF(COUNTBLANK(Table1[[#This Row],[Part 7]])=0,Table1[[#This Row],[Part 7]],"")</f>
        <v/>
      </c>
    </row>
    <row r="101" spans="8:31" x14ac:dyDescent="0.35">
      <c r="H101" t="str">
        <f>_xlfn.CONCAT(Table1[[#This Row],[Eff pt 1]:[Eff pt 7]])</f>
        <v>Connectors - D-Sub - Standard - Female - Inline</v>
      </c>
      <c r="I101" s="6" t="s">
        <v>34</v>
      </c>
      <c r="J101" t="s">
        <v>66</v>
      </c>
      <c r="K101" t="s">
        <v>63</v>
      </c>
      <c r="L101" t="s">
        <v>68</v>
      </c>
      <c r="M101" t="s">
        <v>70</v>
      </c>
      <c r="P101" s="6" t="b">
        <v>0</v>
      </c>
      <c r="Q101" t="b">
        <v>0</v>
      </c>
      <c r="R101" t="b">
        <v>0</v>
      </c>
      <c r="S101" s="5" t="b">
        <v>0</v>
      </c>
      <c r="T101" t="b">
        <v>0</v>
      </c>
      <c r="U101" t="b">
        <v>0</v>
      </c>
      <c r="V101" t="b">
        <v>0</v>
      </c>
      <c r="W101">
        <v>0</v>
      </c>
      <c r="X101" s="6">
        <f>(COUNTIF(Table1[[#This Row],[Spreadsheet]:[Functionality Verified?]],"=TRUE")/7) * 100</f>
        <v>0</v>
      </c>
      <c r="Y101" t="str">
        <f>IF(COUNTBLANK(Table1[[#This Row],[Part 2]])=0,_xlfn.CONCAT(Table1[[#This Row],[Part 1]]," - "),IF(COUNTBLANK(Table1[[#This Row],[Part 1]])=0,Table1[[#This Row],[Part 1]],""))</f>
        <v xml:space="preserve">Connectors - </v>
      </c>
      <c r="Z101" t="str">
        <f>IF(COUNTBLANK(Table1[[#This Row],[Part 3]])=0,_xlfn.CONCAT(Table1[[#This Row],[Part 2]]," - "),IF(COUNTBLANK(Table1[[#This Row],[Part 2]])=0,Table1[[#This Row],[Part 2]],""))</f>
        <v xml:space="preserve">D-Sub - </v>
      </c>
      <c r="AA101" t="str">
        <f>IF(COUNTBLANK(Table1[[#This Row],[Part 4]])=0,_xlfn.CONCAT(Table1[[#This Row],[Part 3]]," - "),IF(COUNTBLANK(Table1[[#This Row],[Part 3]])=0,Table1[[#This Row],[Part 3]],""))</f>
        <v xml:space="preserve">Standard - </v>
      </c>
      <c r="AB101" t="str">
        <f>IF(COUNTBLANK(Table1[[#This Row],[Part 5]])=0,_xlfn.CONCAT(Table1[[#This Row],[Part 4]]," - "),IF(COUNTBLANK(Table1[[#This Row],[Part 4]])=0,Table1[[#This Row],[Part 4]],""))</f>
        <v xml:space="preserve">Female - </v>
      </c>
      <c r="AC101" t="str">
        <f>IF(COUNTBLANK(Table1[[#This Row],[Part 6]])=0,_xlfn.CONCAT(Table1[[#This Row],[Part 5]]," - "),IF(COUNTBLANK(Table1[[#This Row],[Part 5]])=0,Table1[[#This Row],[Part 5]],""))</f>
        <v>Inline</v>
      </c>
      <c r="AD101" t="str">
        <f>IF(COUNTBLANK(Table1[[#This Row],[Part 7]])=0,_xlfn.CONCAT(Table1[[#This Row],[Part 6]]," - "),IF(COUNTBLANK(Table1[[#This Row],[Part 6]])=0,Table1[[#This Row],[Part 6]],""))</f>
        <v/>
      </c>
      <c r="AE101" t="str">
        <f>IF(COUNTBLANK(Table1[[#This Row],[Part 7]])=0,Table1[[#This Row],[Part 7]],"")</f>
        <v/>
      </c>
    </row>
    <row r="102" spans="8:31" x14ac:dyDescent="0.35">
      <c r="H102" t="str">
        <f>_xlfn.CONCAT(Table1[[#This Row],[Eff pt 1]:[Eff pt 7]])</f>
        <v>Connectors - D-Sub - Hybrid - Male - Inline</v>
      </c>
      <c r="I102" s="6" t="s">
        <v>34</v>
      </c>
      <c r="J102" t="s">
        <v>66</v>
      </c>
      <c r="K102" t="s">
        <v>64</v>
      </c>
      <c r="L102" t="s">
        <v>67</v>
      </c>
      <c r="M102" t="s">
        <v>70</v>
      </c>
      <c r="P102" s="6" t="b">
        <v>0</v>
      </c>
      <c r="Q102" t="b">
        <v>0</v>
      </c>
      <c r="R102" t="b">
        <v>0</v>
      </c>
      <c r="S102" s="5" t="b">
        <v>0</v>
      </c>
      <c r="T102" t="b">
        <v>0</v>
      </c>
      <c r="U102" t="b">
        <v>0</v>
      </c>
      <c r="V102" t="b">
        <v>0</v>
      </c>
      <c r="W102">
        <v>0</v>
      </c>
      <c r="X102" s="6">
        <f>(COUNTIF(Table1[[#This Row],[Spreadsheet]:[Functionality Verified?]],"=TRUE")/7) * 100</f>
        <v>0</v>
      </c>
      <c r="Y102" t="str">
        <f>IF(COUNTBLANK(Table1[[#This Row],[Part 2]])=0,_xlfn.CONCAT(Table1[[#This Row],[Part 1]]," - "),IF(COUNTBLANK(Table1[[#This Row],[Part 1]])=0,Table1[[#This Row],[Part 1]],""))</f>
        <v xml:space="preserve">Connectors - </v>
      </c>
      <c r="Z102" t="str">
        <f>IF(COUNTBLANK(Table1[[#This Row],[Part 3]])=0,_xlfn.CONCAT(Table1[[#This Row],[Part 2]]," - "),IF(COUNTBLANK(Table1[[#This Row],[Part 2]])=0,Table1[[#This Row],[Part 2]],""))</f>
        <v xml:space="preserve">D-Sub - </v>
      </c>
      <c r="AA102" t="str">
        <f>IF(COUNTBLANK(Table1[[#This Row],[Part 4]])=0,_xlfn.CONCAT(Table1[[#This Row],[Part 3]]," - "),IF(COUNTBLANK(Table1[[#This Row],[Part 3]])=0,Table1[[#This Row],[Part 3]],""))</f>
        <v xml:space="preserve">Hybrid - </v>
      </c>
      <c r="AB102" t="str">
        <f>IF(COUNTBLANK(Table1[[#This Row],[Part 5]])=0,_xlfn.CONCAT(Table1[[#This Row],[Part 4]]," - "),IF(COUNTBLANK(Table1[[#This Row],[Part 4]])=0,Table1[[#This Row],[Part 4]],""))</f>
        <v xml:space="preserve">Male - </v>
      </c>
      <c r="AC102" t="str">
        <f>IF(COUNTBLANK(Table1[[#This Row],[Part 6]])=0,_xlfn.CONCAT(Table1[[#This Row],[Part 5]]," - "),IF(COUNTBLANK(Table1[[#This Row],[Part 5]])=0,Table1[[#This Row],[Part 5]],""))</f>
        <v>Inline</v>
      </c>
      <c r="AD102" t="str">
        <f>IF(COUNTBLANK(Table1[[#This Row],[Part 7]])=0,_xlfn.CONCAT(Table1[[#This Row],[Part 6]]," - "),IF(COUNTBLANK(Table1[[#This Row],[Part 6]])=0,Table1[[#This Row],[Part 6]],""))</f>
        <v/>
      </c>
      <c r="AE102" t="str">
        <f>IF(COUNTBLANK(Table1[[#This Row],[Part 7]])=0,Table1[[#This Row],[Part 7]],"")</f>
        <v/>
      </c>
    </row>
    <row r="103" spans="8:31" x14ac:dyDescent="0.35">
      <c r="H103" t="str">
        <f>_xlfn.CONCAT(Table1[[#This Row],[Eff pt 1]:[Eff pt 7]])</f>
        <v>Connectors - D-Sub - Hybrid - Female - Inline</v>
      </c>
      <c r="I103" s="6" t="s">
        <v>34</v>
      </c>
      <c r="J103" t="s">
        <v>66</v>
      </c>
      <c r="K103" t="s">
        <v>64</v>
      </c>
      <c r="L103" t="s">
        <v>68</v>
      </c>
      <c r="M103" t="s">
        <v>70</v>
      </c>
      <c r="P103" s="6" t="b">
        <v>0</v>
      </c>
      <c r="Q103" t="b">
        <v>0</v>
      </c>
      <c r="R103" t="b">
        <v>0</v>
      </c>
      <c r="S103" s="5" t="b">
        <v>0</v>
      </c>
      <c r="T103" t="b">
        <v>0</v>
      </c>
      <c r="U103" t="b">
        <v>0</v>
      </c>
      <c r="V103" t="b">
        <v>0</v>
      </c>
      <c r="W103">
        <v>0</v>
      </c>
      <c r="X103" s="6">
        <f>(COUNTIF(Table1[[#This Row],[Spreadsheet]:[Functionality Verified?]],"=TRUE")/7) * 100</f>
        <v>0</v>
      </c>
      <c r="Y103" t="str">
        <f>IF(COUNTBLANK(Table1[[#This Row],[Part 2]])=0,_xlfn.CONCAT(Table1[[#This Row],[Part 1]]," - "),IF(COUNTBLANK(Table1[[#This Row],[Part 1]])=0,Table1[[#This Row],[Part 1]],""))</f>
        <v xml:space="preserve">Connectors - </v>
      </c>
      <c r="Z103" t="str">
        <f>IF(COUNTBLANK(Table1[[#This Row],[Part 3]])=0,_xlfn.CONCAT(Table1[[#This Row],[Part 2]]," - "),IF(COUNTBLANK(Table1[[#This Row],[Part 2]])=0,Table1[[#This Row],[Part 2]],""))</f>
        <v xml:space="preserve">D-Sub - </v>
      </c>
      <c r="AA103" t="str">
        <f>IF(COUNTBLANK(Table1[[#This Row],[Part 4]])=0,_xlfn.CONCAT(Table1[[#This Row],[Part 3]]," - "),IF(COUNTBLANK(Table1[[#This Row],[Part 3]])=0,Table1[[#This Row],[Part 3]],""))</f>
        <v xml:space="preserve">Hybrid - </v>
      </c>
      <c r="AB103" t="str">
        <f>IF(COUNTBLANK(Table1[[#This Row],[Part 5]])=0,_xlfn.CONCAT(Table1[[#This Row],[Part 4]]," - "),IF(COUNTBLANK(Table1[[#This Row],[Part 4]])=0,Table1[[#This Row],[Part 4]],""))</f>
        <v xml:space="preserve">Female - </v>
      </c>
      <c r="AC103" t="str">
        <f>IF(COUNTBLANK(Table1[[#This Row],[Part 6]])=0,_xlfn.CONCAT(Table1[[#This Row],[Part 5]]," - "),IF(COUNTBLANK(Table1[[#This Row],[Part 5]])=0,Table1[[#This Row],[Part 5]],""))</f>
        <v>Inline</v>
      </c>
      <c r="AD103" t="str">
        <f>IF(COUNTBLANK(Table1[[#This Row],[Part 7]])=0,_xlfn.CONCAT(Table1[[#This Row],[Part 6]]," - "),IF(COUNTBLANK(Table1[[#This Row],[Part 6]])=0,Table1[[#This Row],[Part 6]],""))</f>
        <v/>
      </c>
      <c r="AE103" t="str">
        <f>IF(COUNTBLANK(Table1[[#This Row],[Part 7]])=0,Table1[[#This Row],[Part 7]],"")</f>
        <v/>
      </c>
    </row>
    <row r="104" spans="8:31" x14ac:dyDescent="0.35">
      <c r="H104" t="str">
        <f>_xlfn.CONCAT(Table1[[#This Row],[Eff pt 1]:[Eff pt 7]])</f>
        <v>Connectors - D-Sub - Backshells</v>
      </c>
      <c r="I104" s="6" t="s">
        <v>34</v>
      </c>
      <c r="J104" t="s">
        <v>66</v>
      </c>
      <c r="K104" t="s">
        <v>65</v>
      </c>
      <c r="P104" s="6" t="b">
        <v>0</v>
      </c>
      <c r="Q104" t="b">
        <v>0</v>
      </c>
      <c r="R104" t="b">
        <v>0</v>
      </c>
      <c r="S104" s="5" t="b">
        <v>0</v>
      </c>
      <c r="T104" t="b">
        <v>0</v>
      </c>
      <c r="U104" t="b">
        <v>0</v>
      </c>
      <c r="V104" t="b">
        <v>0</v>
      </c>
      <c r="W104">
        <v>0</v>
      </c>
      <c r="X104" s="6">
        <f>(COUNTIF(Table1[[#This Row],[Spreadsheet]:[Functionality Verified?]],"=TRUE")/7) * 100</f>
        <v>0</v>
      </c>
      <c r="Y104" t="str">
        <f>IF(COUNTBLANK(Table1[[#This Row],[Part 2]])=0,_xlfn.CONCAT(Table1[[#This Row],[Part 1]]," - "),IF(COUNTBLANK(Table1[[#This Row],[Part 1]])=0,Table1[[#This Row],[Part 1]],""))</f>
        <v xml:space="preserve">Connectors - </v>
      </c>
      <c r="Z104" t="str">
        <f>IF(COUNTBLANK(Table1[[#This Row],[Part 3]])=0,_xlfn.CONCAT(Table1[[#This Row],[Part 2]]," - "),IF(COUNTBLANK(Table1[[#This Row],[Part 2]])=0,Table1[[#This Row],[Part 2]],""))</f>
        <v xml:space="preserve">D-Sub - </v>
      </c>
      <c r="AA104" t="str">
        <f>IF(COUNTBLANK(Table1[[#This Row],[Part 4]])=0,_xlfn.CONCAT(Table1[[#This Row],[Part 3]]," - "),IF(COUNTBLANK(Table1[[#This Row],[Part 3]])=0,Table1[[#This Row],[Part 3]],""))</f>
        <v>Backshells</v>
      </c>
      <c r="AB104" t="str">
        <f>IF(COUNTBLANK(Table1[[#This Row],[Part 5]])=0,_xlfn.CONCAT(Table1[[#This Row],[Part 4]]," - "),IF(COUNTBLANK(Table1[[#This Row],[Part 4]])=0,Table1[[#This Row],[Part 4]],""))</f>
        <v/>
      </c>
      <c r="AC104" t="str">
        <f>IF(COUNTBLANK(Table1[[#This Row],[Part 6]])=0,_xlfn.CONCAT(Table1[[#This Row],[Part 5]]," - "),IF(COUNTBLANK(Table1[[#This Row],[Part 5]])=0,Table1[[#This Row],[Part 5]],""))</f>
        <v/>
      </c>
      <c r="AD104" t="str">
        <f>IF(COUNTBLANK(Table1[[#This Row],[Part 7]])=0,_xlfn.CONCAT(Table1[[#This Row],[Part 6]]," - "),IF(COUNTBLANK(Table1[[#This Row],[Part 6]])=0,Table1[[#This Row],[Part 6]],""))</f>
        <v/>
      </c>
      <c r="AE104" t="str">
        <f>IF(COUNTBLANK(Table1[[#This Row],[Part 7]])=0,Table1[[#This Row],[Part 7]],"")</f>
        <v/>
      </c>
    </row>
    <row r="105" spans="8:31" x14ac:dyDescent="0.35">
      <c r="H105" t="str">
        <f>_xlfn.CONCAT(Table1[[#This Row],[Eff pt 1]:[Eff pt 7]])</f>
        <v>Connectors - Coaxial</v>
      </c>
      <c r="I105" s="6" t="s">
        <v>34</v>
      </c>
      <c r="J105" t="s">
        <v>58</v>
      </c>
      <c r="P105" s="6" t="b">
        <v>1</v>
      </c>
      <c r="Q105" t="b">
        <v>1</v>
      </c>
      <c r="R105" t="b">
        <v>1</v>
      </c>
      <c r="S105" s="5" t="b">
        <v>1</v>
      </c>
      <c r="T105" t="b">
        <v>1</v>
      </c>
      <c r="U105" t="b">
        <v>1</v>
      </c>
      <c r="V105" t="b">
        <v>0</v>
      </c>
      <c r="W105">
        <v>0</v>
      </c>
      <c r="X105" s="6">
        <f>(COUNTIF(Table1[[#This Row],[Spreadsheet]:[Functionality Verified?]],"=TRUE")/7) * 100</f>
        <v>85.714285714285708</v>
      </c>
      <c r="Y105" t="str">
        <f>IF(COUNTBLANK(Table1[[#This Row],[Part 2]])=0,_xlfn.CONCAT(Table1[[#This Row],[Part 1]]," - "),IF(COUNTBLANK(Table1[[#This Row],[Part 1]])=0,Table1[[#This Row],[Part 1]],""))</f>
        <v xml:space="preserve">Connectors - </v>
      </c>
      <c r="Z105" t="str">
        <f>IF(COUNTBLANK(Table1[[#This Row],[Part 3]])=0,_xlfn.CONCAT(Table1[[#This Row],[Part 2]]," - "),IF(COUNTBLANK(Table1[[#This Row],[Part 2]])=0,Table1[[#This Row],[Part 2]],""))</f>
        <v>Coaxial</v>
      </c>
      <c r="AA105" t="str">
        <f>IF(COUNTBLANK(Table1[[#This Row],[Part 4]])=0,_xlfn.CONCAT(Table1[[#This Row],[Part 3]]," - "),IF(COUNTBLANK(Table1[[#This Row],[Part 3]])=0,Table1[[#This Row],[Part 3]],""))</f>
        <v/>
      </c>
      <c r="AB105" t="str">
        <f>IF(COUNTBLANK(Table1[[#This Row],[Part 5]])=0,_xlfn.CONCAT(Table1[[#This Row],[Part 4]]," - "),IF(COUNTBLANK(Table1[[#This Row],[Part 4]])=0,Table1[[#This Row],[Part 4]],""))</f>
        <v/>
      </c>
      <c r="AC105" t="str">
        <f>IF(COUNTBLANK(Table1[[#This Row],[Part 6]])=0,_xlfn.CONCAT(Table1[[#This Row],[Part 5]]," - "),IF(COUNTBLANK(Table1[[#This Row],[Part 5]])=0,Table1[[#This Row],[Part 5]],""))</f>
        <v/>
      </c>
      <c r="AD105" t="str">
        <f>IF(COUNTBLANK(Table1[[#This Row],[Part 7]])=0,_xlfn.CONCAT(Table1[[#This Row],[Part 6]]," - "),IF(COUNTBLANK(Table1[[#This Row],[Part 6]])=0,Table1[[#This Row],[Part 6]],""))</f>
        <v/>
      </c>
      <c r="AE105" t="str">
        <f>IF(COUNTBLANK(Table1[[#This Row],[Part 7]])=0,Table1[[#This Row],[Part 7]],"")</f>
        <v/>
      </c>
    </row>
    <row r="106" spans="8:31" x14ac:dyDescent="0.35">
      <c r="H106" t="str">
        <f>_xlfn.CONCAT(Table1[[#This Row],[Eff pt 1]:[Eff pt 7]])</f>
        <v>Connectors - Card Edge</v>
      </c>
      <c r="I106" s="6" t="s">
        <v>34</v>
      </c>
      <c r="J106" t="s">
        <v>57</v>
      </c>
      <c r="P106" s="6" t="b">
        <v>0</v>
      </c>
      <c r="Q106" t="b">
        <v>0</v>
      </c>
      <c r="R106" t="b">
        <v>0</v>
      </c>
      <c r="S106" s="5" t="b">
        <v>0</v>
      </c>
      <c r="T106" t="b">
        <v>0</v>
      </c>
      <c r="U106" t="b">
        <v>0</v>
      </c>
      <c r="V106" t="b">
        <v>0</v>
      </c>
      <c r="W106">
        <v>0</v>
      </c>
      <c r="X106" s="6">
        <f>(COUNTIF(Table1[[#This Row],[Spreadsheet]:[Functionality Verified?]],"=TRUE")/7) * 100</f>
        <v>0</v>
      </c>
      <c r="Y106" t="str">
        <f>IF(COUNTBLANK(Table1[[#This Row],[Part 2]])=0,_xlfn.CONCAT(Table1[[#This Row],[Part 1]]," - "),IF(COUNTBLANK(Table1[[#This Row],[Part 1]])=0,Table1[[#This Row],[Part 1]],""))</f>
        <v xml:space="preserve">Connectors - </v>
      </c>
      <c r="Z106" t="str">
        <f>IF(COUNTBLANK(Table1[[#This Row],[Part 3]])=0,_xlfn.CONCAT(Table1[[#This Row],[Part 2]]," - "),IF(COUNTBLANK(Table1[[#This Row],[Part 2]])=0,Table1[[#This Row],[Part 2]],""))</f>
        <v>Card Edge</v>
      </c>
      <c r="AA106" t="str">
        <f>IF(COUNTBLANK(Table1[[#This Row],[Part 4]])=0,_xlfn.CONCAT(Table1[[#This Row],[Part 3]]," - "),IF(COUNTBLANK(Table1[[#This Row],[Part 3]])=0,Table1[[#This Row],[Part 3]],""))</f>
        <v/>
      </c>
      <c r="AB106" t="str">
        <f>IF(COUNTBLANK(Table1[[#This Row],[Part 5]])=0,_xlfn.CONCAT(Table1[[#This Row],[Part 4]]," - "),IF(COUNTBLANK(Table1[[#This Row],[Part 4]])=0,Table1[[#This Row],[Part 4]],""))</f>
        <v/>
      </c>
      <c r="AC106" t="str">
        <f>IF(COUNTBLANK(Table1[[#This Row],[Part 6]])=0,_xlfn.CONCAT(Table1[[#This Row],[Part 5]]," - "),IF(COUNTBLANK(Table1[[#This Row],[Part 5]])=0,Table1[[#This Row],[Part 5]],""))</f>
        <v/>
      </c>
      <c r="AD106" t="str">
        <f>IF(COUNTBLANK(Table1[[#This Row],[Part 7]])=0,_xlfn.CONCAT(Table1[[#This Row],[Part 6]]," - "),IF(COUNTBLANK(Table1[[#This Row],[Part 6]])=0,Table1[[#This Row],[Part 6]],""))</f>
        <v/>
      </c>
      <c r="AE106" t="str">
        <f>IF(COUNTBLANK(Table1[[#This Row],[Part 7]])=0,Table1[[#This Row],[Part 7]],"")</f>
        <v/>
      </c>
    </row>
    <row r="107" spans="8:31" x14ac:dyDescent="0.35">
      <c r="H107" t="str">
        <f>_xlfn.CONCAT(Table1[[#This Row],[Eff pt 1]:[Eff pt 7]])</f>
        <v>Connectors - Battery Holders - Cylindrical</v>
      </c>
      <c r="I107" s="6" t="s">
        <v>34</v>
      </c>
      <c r="J107" t="s">
        <v>206</v>
      </c>
      <c r="K107" t="s">
        <v>208</v>
      </c>
      <c r="P107" s="6" t="b">
        <v>0</v>
      </c>
      <c r="Q107" t="b">
        <v>0</v>
      </c>
      <c r="R107" t="b">
        <v>0</v>
      </c>
      <c r="S107" s="5" t="b">
        <v>0</v>
      </c>
      <c r="T107" t="b">
        <v>0</v>
      </c>
      <c r="U107" t="b">
        <v>0</v>
      </c>
      <c r="V107" t="b">
        <v>0</v>
      </c>
      <c r="W107">
        <v>0</v>
      </c>
      <c r="X107" s="6">
        <f>(COUNTIF(Table1[[#This Row],[Spreadsheet]:[Functionality Verified?]],"=TRUE")/7) * 100</f>
        <v>0</v>
      </c>
      <c r="Y107" t="str">
        <f>IF(COUNTBLANK(Table1[[#This Row],[Part 2]])=0,_xlfn.CONCAT(Table1[[#This Row],[Part 1]]," - "),IF(COUNTBLANK(Table1[[#This Row],[Part 1]])=0,Table1[[#This Row],[Part 1]],""))</f>
        <v xml:space="preserve">Connectors - </v>
      </c>
      <c r="Z107" t="str">
        <f>IF(COUNTBLANK(Table1[[#This Row],[Part 3]])=0,_xlfn.CONCAT(Table1[[#This Row],[Part 2]]," - "),IF(COUNTBLANK(Table1[[#This Row],[Part 2]])=0,Table1[[#This Row],[Part 2]],""))</f>
        <v xml:space="preserve">Battery Holders - </v>
      </c>
      <c r="AA107" t="str">
        <f>IF(COUNTBLANK(Table1[[#This Row],[Part 4]])=0,_xlfn.CONCAT(Table1[[#This Row],[Part 3]]," - "),IF(COUNTBLANK(Table1[[#This Row],[Part 3]])=0,Table1[[#This Row],[Part 3]],""))</f>
        <v>Cylindrical</v>
      </c>
      <c r="AB107" t="str">
        <f>IF(COUNTBLANK(Table1[[#This Row],[Part 5]])=0,_xlfn.CONCAT(Table1[[#This Row],[Part 4]]," - "),IF(COUNTBLANK(Table1[[#This Row],[Part 4]])=0,Table1[[#This Row],[Part 4]],""))</f>
        <v/>
      </c>
      <c r="AC107" t="str">
        <f>IF(COUNTBLANK(Table1[[#This Row],[Part 6]])=0,_xlfn.CONCAT(Table1[[#This Row],[Part 5]]," - "),IF(COUNTBLANK(Table1[[#This Row],[Part 5]])=0,Table1[[#This Row],[Part 5]],""))</f>
        <v/>
      </c>
      <c r="AD107" t="str">
        <f>IF(COUNTBLANK(Table1[[#This Row],[Part 7]])=0,_xlfn.CONCAT(Table1[[#This Row],[Part 6]]," - "),IF(COUNTBLANK(Table1[[#This Row],[Part 6]])=0,Table1[[#This Row],[Part 6]],""))</f>
        <v/>
      </c>
      <c r="AE107" t="str">
        <f>IF(COUNTBLANK(Table1[[#This Row],[Part 7]])=0,Table1[[#This Row],[Part 7]],"")</f>
        <v/>
      </c>
    </row>
    <row r="108" spans="8:31" x14ac:dyDescent="0.35">
      <c r="H108" t="str">
        <f>_xlfn.CONCAT(Table1[[#This Row],[Eff pt 1]:[Eff pt 7]])</f>
        <v>Connectors - Battery Holders - Coin Cell</v>
      </c>
      <c r="I108" s="6" t="s">
        <v>34</v>
      </c>
      <c r="J108" t="s">
        <v>206</v>
      </c>
      <c r="K108" t="s">
        <v>207</v>
      </c>
      <c r="P108" s="6" t="b">
        <v>1</v>
      </c>
      <c r="Q108" t="b">
        <v>1</v>
      </c>
      <c r="R108" t="b">
        <v>1</v>
      </c>
      <c r="S108" s="5" t="b">
        <v>1</v>
      </c>
      <c r="T108" t="b">
        <v>1</v>
      </c>
      <c r="U108" t="b">
        <v>1</v>
      </c>
      <c r="V108" t="s">
        <v>184</v>
      </c>
      <c r="W108">
        <v>0</v>
      </c>
      <c r="X108" s="6">
        <f>(COUNTIF(Table1[[#This Row],[Spreadsheet]:[Functionality Verified?]],"=TRUE")/7) * 100</f>
        <v>85.714285714285708</v>
      </c>
      <c r="Y108" t="str">
        <f>IF(COUNTBLANK(Table1[[#This Row],[Part 2]])=0,_xlfn.CONCAT(Table1[[#This Row],[Part 1]]," - "),IF(COUNTBLANK(Table1[[#This Row],[Part 1]])=0,Table1[[#This Row],[Part 1]],""))</f>
        <v xml:space="preserve">Connectors - </v>
      </c>
      <c r="Z108" t="str">
        <f>IF(COUNTBLANK(Table1[[#This Row],[Part 3]])=0,_xlfn.CONCAT(Table1[[#This Row],[Part 2]]," - "),IF(COUNTBLANK(Table1[[#This Row],[Part 2]])=0,Table1[[#This Row],[Part 2]],""))</f>
        <v xml:space="preserve">Battery Holders - </v>
      </c>
      <c r="AA108" t="str">
        <f>IF(COUNTBLANK(Table1[[#This Row],[Part 4]])=0,_xlfn.CONCAT(Table1[[#This Row],[Part 3]]," - "),IF(COUNTBLANK(Table1[[#This Row],[Part 3]])=0,Table1[[#This Row],[Part 3]],""))</f>
        <v>Coin Cell</v>
      </c>
      <c r="AB108" t="str">
        <f>IF(COUNTBLANK(Table1[[#This Row],[Part 5]])=0,_xlfn.CONCAT(Table1[[#This Row],[Part 4]]," - "),IF(COUNTBLANK(Table1[[#This Row],[Part 4]])=0,Table1[[#This Row],[Part 4]],""))</f>
        <v/>
      </c>
      <c r="AC108" t="str">
        <f>IF(COUNTBLANK(Table1[[#This Row],[Part 6]])=0,_xlfn.CONCAT(Table1[[#This Row],[Part 5]]," - "),IF(COUNTBLANK(Table1[[#This Row],[Part 5]])=0,Table1[[#This Row],[Part 5]],""))</f>
        <v/>
      </c>
      <c r="AD108" t="str">
        <f>IF(COUNTBLANK(Table1[[#This Row],[Part 7]])=0,_xlfn.CONCAT(Table1[[#This Row],[Part 6]]," - "),IF(COUNTBLANK(Table1[[#This Row],[Part 6]])=0,Table1[[#This Row],[Part 6]],""))</f>
        <v/>
      </c>
      <c r="AE108" t="str">
        <f>IF(COUNTBLANK(Table1[[#This Row],[Part 7]])=0,Table1[[#This Row],[Part 7]],"")</f>
        <v/>
      </c>
    </row>
    <row r="109" spans="8:31" x14ac:dyDescent="0.35">
      <c r="H109" t="str">
        <f>_xlfn.CONCAT(Table1[[#This Row],[Eff pt 1]:[Eff pt 7]])</f>
        <v>Connectors - Banana Jacks</v>
      </c>
      <c r="I109" s="6" t="s">
        <v>34</v>
      </c>
      <c r="J109" t="s">
        <v>59</v>
      </c>
      <c r="P109" s="6" t="b">
        <v>0</v>
      </c>
      <c r="Q109" t="b">
        <v>0</v>
      </c>
      <c r="R109" t="b">
        <v>0</v>
      </c>
      <c r="S109" s="5" t="b">
        <v>0</v>
      </c>
      <c r="T109" t="b">
        <v>0</v>
      </c>
      <c r="U109" t="b">
        <v>0</v>
      </c>
      <c r="V109" t="b">
        <v>0</v>
      </c>
      <c r="W109">
        <v>0</v>
      </c>
      <c r="X109" s="6">
        <f>(COUNTIF(Table1[[#This Row],[Spreadsheet]:[Functionality Verified?]],"=TRUE")/7) * 100</f>
        <v>0</v>
      </c>
      <c r="Y109" t="str">
        <f>IF(COUNTBLANK(Table1[[#This Row],[Part 2]])=0,_xlfn.CONCAT(Table1[[#This Row],[Part 1]]," - "),IF(COUNTBLANK(Table1[[#This Row],[Part 1]])=0,Table1[[#This Row],[Part 1]],""))</f>
        <v xml:space="preserve">Connectors - </v>
      </c>
      <c r="Z109" t="str">
        <f>IF(COUNTBLANK(Table1[[#This Row],[Part 3]])=0,_xlfn.CONCAT(Table1[[#This Row],[Part 2]]," - "),IF(COUNTBLANK(Table1[[#This Row],[Part 2]])=0,Table1[[#This Row],[Part 2]],""))</f>
        <v>Banana Jacks</v>
      </c>
      <c r="AA109" t="str">
        <f>IF(COUNTBLANK(Table1[[#This Row],[Part 4]])=0,_xlfn.CONCAT(Table1[[#This Row],[Part 3]]," - "),IF(COUNTBLANK(Table1[[#This Row],[Part 3]])=0,Table1[[#This Row],[Part 3]],""))</f>
        <v/>
      </c>
      <c r="AB109" t="str">
        <f>IF(COUNTBLANK(Table1[[#This Row],[Part 5]])=0,_xlfn.CONCAT(Table1[[#This Row],[Part 4]]," - "),IF(COUNTBLANK(Table1[[#This Row],[Part 4]])=0,Table1[[#This Row],[Part 4]],""))</f>
        <v/>
      </c>
      <c r="AC109" t="str">
        <f>IF(COUNTBLANK(Table1[[#This Row],[Part 6]])=0,_xlfn.CONCAT(Table1[[#This Row],[Part 5]]," - "),IF(COUNTBLANK(Table1[[#This Row],[Part 5]])=0,Table1[[#This Row],[Part 5]],""))</f>
        <v/>
      </c>
      <c r="AD109" t="str">
        <f>IF(COUNTBLANK(Table1[[#This Row],[Part 7]])=0,_xlfn.CONCAT(Table1[[#This Row],[Part 6]]," - "),IF(COUNTBLANK(Table1[[#This Row],[Part 6]])=0,Table1[[#This Row],[Part 6]],""))</f>
        <v/>
      </c>
      <c r="AE109" t="str">
        <f>IF(COUNTBLANK(Table1[[#This Row],[Part 7]])=0,Table1[[#This Row],[Part 7]],"")</f>
        <v/>
      </c>
    </row>
    <row r="110" spans="8:31" x14ac:dyDescent="0.35">
      <c r="H110" t="str">
        <f>_xlfn.CONCAT(Table1[[#This Row],[Eff pt 1]:[Eff pt 7]])</f>
        <v>Clock&amp;Timing - Oscillators  - VCOs - VCXO</v>
      </c>
      <c r="I110" s="6" t="s">
        <v>153</v>
      </c>
      <c r="J110" t="s">
        <v>124</v>
      </c>
      <c r="K110" t="s">
        <v>129</v>
      </c>
      <c r="L110" t="s">
        <v>131</v>
      </c>
      <c r="P110" s="6" t="b">
        <v>0</v>
      </c>
      <c r="Q110" t="b">
        <v>0</v>
      </c>
      <c r="R110" t="b">
        <v>0</v>
      </c>
      <c r="S110" s="5" t="b">
        <v>0</v>
      </c>
      <c r="T110" t="b">
        <v>1</v>
      </c>
      <c r="U110" t="b">
        <v>0</v>
      </c>
      <c r="V110" t="b">
        <v>0</v>
      </c>
      <c r="W110">
        <v>0</v>
      </c>
      <c r="X110" s="6">
        <f>(COUNTIF(Table1[[#This Row],[Spreadsheet]:[Functionality Verified?]],"=TRUE")/7) * 100</f>
        <v>14.285714285714285</v>
      </c>
      <c r="Y110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0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0" t="str">
        <f>IF(COUNTBLANK(Table1[[#This Row],[Part 4]])=0,_xlfn.CONCAT(Table1[[#This Row],[Part 3]]," - "),IF(COUNTBLANK(Table1[[#This Row],[Part 3]])=0,Table1[[#This Row],[Part 3]],""))</f>
        <v xml:space="preserve">VCOs - </v>
      </c>
      <c r="AB110" t="str">
        <f>IF(COUNTBLANK(Table1[[#This Row],[Part 5]])=0,_xlfn.CONCAT(Table1[[#This Row],[Part 4]]," - "),IF(COUNTBLANK(Table1[[#This Row],[Part 4]])=0,Table1[[#This Row],[Part 4]],""))</f>
        <v>VCXO</v>
      </c>
      <c r="AC110" t="str">
        <f>IF(COUNTBLANK(Table1[[#This Row],[Part 6]])=0,_xlfn.CONCAT(Table1[[#This Row],[Part 5]]," - "),IF(COUNTBLANK(Table1[[#This Row],[Part 5]])=0,Table1[[#This Row],[Part 5]],""))</f>
        <v/>
      </c>
      <c r="AD110" t="str">
        <f>IF(COUNTBLANK(Table1[[#This Row],[Part 7]])=0,_xlfn.CONCAT(Table1[[#This Row],[Part 6]]," - "),IF(COUNTBLANK(Table1[[#This Row],[Part 6]])=0,Table1[[#This Row],[Part 6]],""))</f>
        <v/>
      </c>
      <c r="AE110" t="str">
        <f>IF(COUNTBLANK(Table1[[#This Row],[Part 7]])=0,Table1[[#This Row],[Part 7]],"")</f>
        <v/>
      </c>
    </row>
    <row r="111" spans="8:31" x14ac:dyDescent="0.35">
      <c r="H111" t="str">
        <f>_xlfn.CONCAT(Table1[[#This Row],[Eff pt 1]:[Eff pt 7]])</f>
        <v>Clock&amp;Timing - Oscillators  - VCOs - VCTCXO</v>
      </c>
      <c r="I111" s="6" t="s">
        <v>153</v>
      </c>
      <c r="J111" t="s">
        <v>124</v>
      </c>
      <c r="K111" t="s">
        <v>129</v>
      </c>
      <c r="L111" t="s">
        <v>132</v>
      </c>
      <c r="P111" s="6" t="b">
        <v>0</v>
      </c>
      <c r="Q111" t="b">
        <v>0</v>
      </c>
      <c r="R111" t="b">
        <v>0</v>
      </c>
      <c r="S111" s="5" t="b">
        <v>0</v>
      </c>
      <c r="T111" t="b">
        <v>1</v>
      </c>
      <c r="U111" t="b">
        <v>0</v>
      </c>
      <c r="V111" t="b">
        <v>0</v>
      </c>
      <c r="W111">
        <v>0</v>
      </c>
      <c r="X111" s="6">
        <f>(COUNTIF(Table1[[#This Row],[Spreadsheet]:[Functionality Verified?]],"=TRUE")/7) * 100</f>
        <v>14.285714285714285</v>
      </c>
      <c r="Y111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1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1" t="str">
        <f>IF(COUNTBLANK(Table1[[#This Row],[Part 4]])=0,_xlfn.CONCAT(Table1[[#This Row],[Part 3]]," - "),IF(COUNTBLANK(Table1[[#This Row],[Part 3]])=0,Table1[[#This Row],[Part 3]],""))</f>
        <v xml:space="preserve">VCOs - </v>
      </c>
      <c r="AB111" t="str">
        <f>IF(COUNTBLANK(Table1[[#This Row],[Part 5]])=0,_xlfn.CONCAT(Table1[[#This Row],[Part 4]]," - "),IF(COUNTBLANK(Table1[[#This Row],[Part 4]])=0,Table1[[#This Row],[Part 4]],""))</f>
        <v>VCTCXO</v>
      </c>
      <c r="AC111" t="str">
        <f>IF(COUNTBLANK(Table1[[#This Row],[Part 6]])=0,_xlfn.CONCAT(Table1[[#This Row],[Part 5]]," - "),IF(COUNTBLANK(Table1[[#This Row],[Part 5]])=0,Table1[[#This Row],[Part 5]],""))</f>
        <v/>
      </c>
      <c r="AD111" t="str">
        <f>IF(COUNTBLANK(Table1[[#This Row],[Part 7]])=0,_xlfn.CONCAT(Table1[[#This Row],[Part 6]]," - "),IF(COUNTBLANK(Table1[[#This Row],[Part 6]])=0,Table1[[#This Row],[Part 6]],""))</f>
        <v/>
      </c>
      <c r="AE111" t="str">
        <f>IF(COUNTBLANK(Table1[[#This Row],[Part 7]])=0,Table1[[#This Row],[Part 7]],"")</f>
        <v/>
      </c>
    </row>
    <row r="112" spans="8:31" x14ac:dyDescent="0.35">
      <c r="H112" t="str">
        <f>_xlfn.CONCAT(Table1[[#This Row],[Eff pt 1]:[Eff pt 7]])</f>
        <v>Clock&amp;Timing - Oscillators  - VCOs - VCO</v>
      </c>
      <c r="I112" s="6" t="s">
        <v>153</v>
      </c>
      <c r="J112" t="s">
        <v>124</v>
      </c>
      <c r="K112" t="s">
        <v>129</v>
      </c>
      <c r="L112" t="s">
        <v>130</v>
      </c>
      <c r="P112" s="6" t="b">
        <v>0</v>
      </c>
      <c r="Q112" t="b">
        <v>0</v>
      </c>
      <c r="R112" t="b">
        <v>0</v>
      </c>
      <c r="S112" s="5" t="b">
        <v>0</v>
      </c>
      <c r="T112" t="b">
        <v>1</v>
      </c>
      <c r="U112" t="b">
        <v>0</v>
      </c>
      <c r="V112" t="b">
        <v>0</v>
      </c>
      <c r="W112">
        <v>0</v>
      </c>
      <c r="X112" s="6">
        <f>(COUNTIF(Table1[[#This Row],[Spreadsheet]:[Functionality Verified?]],"=TRUE")/7) * 100</f>
        <v>14.285714285714285</v>
      </c>
      <c r="Y112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2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2" t="str">
        <f>IF(COUNTBLANK(Table1[[#This Row],[Part 4]])=0,_xlfn.CONCAT(Table1[[#This Row],[Part 3]]," - "),IF(COUNTBLANK(Table1[[#This Row],[Part 3]])=0,Table1[[#This Row],[Part 3]],""))</f>
        <v xml:space="preserve">VCOs - </v>
      </c>
      <c r="AB112" t="str">
        <f>IF(COUNTBLANK(Table1[[#This Row],[Part 5]])=0,_xlfn.CONCAT(Table1[[#This Row],[Part 4]]," - "),IF(COUNTBLANK(Table1[[#This Row],[Part 4]])=0,Table1[[#This Row],[Part 4]],""))</f>
        <v>VCO</v>
      </c>
      <c r="AC112" t="str">
        <f>IF(COUNTBLANK(Table1[[#This Row],[Part 6]])=0,_xlfn.CONCAT(Table1[[#This Row],[Part 5]]," - "),IF(COUNTBLANK(Table1[[#This Row],[Part 5]])=0,Table1[[#This Row],[Part 5]],""))</f>
        <v/>
      </c>
      <c r="AD112" t="str">
        <f>IF(COUNTBLANK(Table1[[#This Row],[Part 7]])=0,_xlfn.CONCAT(Table1[[#This Row],[Part 6]]," - "),IF(COUNTBLANK(Table1[[#This Row],[Part 6]])=0,Table1[[#This Row],[Part 6]],""))</f>
        <v/>
      </c>
      <c r="AE112" t="str">
        <f>IF(COUNTBLANK(Table1[[#This Row],[Part 7]])=0,Table1[[#This Row],[Part 7]],"")</f>
        <v/>
      </c>
    </row>
    <row r="113" spans="8:31" x14ac:dyDescent="0.35">
      <c r="H113" t="str">
        <f>_xlfn.CONCAT(Table1[[#This Row],[Eff pt 1]:[Eff pt 7]])</f>
        <v>Clock&amp;Timing - Oscillators  - Fixed - TCXO</v>
      </c>
      <c r="I113" s="6" t="s">
        <v>153</v>
      </c>
      <c r="J113" t="s">
        <v>124</v>
      </c>
      <c r="K113" t="s">
        <v>125</v>
      </c>
      <c r="L113" t="s">
        <v>127</v>
      </c>
      <c r="P113" s="6" t="b">
        <v>0</v>
      </c>
      <c r="Q113" t="b">
        <v>0</v>
      </c>
      <c r="R113" t="b">
        <v>0</v>
      </c>
      <c r="S113" s="5" t="b">
        <v>0</v>
      </c>
      <c r="T113" t="b">
        <v>1</v>
      </c>
      <c r="U113" t="b">
        <v>0</v>
      </c>
      <c r="V113" t="b">
        <v>0</v>
      </c>
      <c r="W113">
        <v>0</v>
      </c>
      <c r="X113" s="6">
        <f>(COUNTIF(Table1[[#This Row],[Spreadsheet]:[Functionality Verified?]],"=TRUE")/7) * 100</f>
        <v>14.285714285714285</v>
      </c>
      <c r="Y113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3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3" t="str">
        <f>IF(COUNTBLANK(Table1[[#This Row],[Part 4]])=0,_xlfn.CONCAT(Table1[[#This Row],[Part 3]]," - "),IF(COUNTBLANK(Table1[[#This Row],[Part 3]])=0,Table1[[#This Row],[Part 3]],""))</f>
        <v xml:space="preserve">Fixed - </v>
      </c>
      <c r="AB113" t="str">
        <f>IF(COUNTBLANK(Table1[[#This Row],[Part 5]])=0,_xlfn.CONCAT(Table1[[#This Row],[Part 4]]," - "),IF(COUNTBLANK(Table1[[#This Row],[Part 4]])=0,Table1[[#This Row],[Part 4]],""))</f>
        <v>TCXO</v>
      </c>
      <c r="AC113" t="str">
        <f>IF(COUNTBLANK(Table1[[#This Row],[Part 6]])=0,_xlfn.CONCAT(Table1[[#This Row],[Part 5]]," - "),IF(COUNTBLANK(Table1[[#This Row],[Part 5]])=0,Table1[[#This Row],[Part 5]],""))</f>
        <v/>
      </c>
      <c r="AD113" t="str">
        <f>IF(COUNTBLANK(Table1[[#This Row],[Part 7]])=0,_xlfn.CONCAT(Table1[[#This Row],[Part 6]]," - "),IF(COUNTBLANK(Table1[[#This Row],[Part 6]])=0,Table1[[#This Row],[Part 6]],""))</f>
        <v/>
      </c>
      <c r="AE113" t="str">
        <f>IF(COUNTBLANK(Table1[[#This Row],[Part 7]])=0,Table1[[#This Row],[Part 7]],"")</f>
        <v/>
      </c>
    </row>
    <row r="114" spans="8:31" x14ac:dyDescent="0.35">
      <c r="H114" t="str">
        <f>_xlfn.CONCAT(Table1[[#This Row],[Eff pt 1]:[Eff pt 7]])</f>
        <v>Clock&amp;Timing - Oscillators  - Fixed - Logic_Out</v>
      </c>
      <c r="I114" s="6" t="s">
        <v>153</v>
      </c>
      <c r="J114" t="s">
        <v>124</v>
      </c>
      <c r="K114" t="s">
        <v>125</v>
      </c>
      <c r="L114" t="s">
        <v>205</v>
      </c>
      <c r="P114" s="6" t="b">
        <v>1</v>
      </c>
      <c r="Q114" t="b">
        <v>1</v>
      </c>
      <c r="R114" t="b">
        <v>1</v>
      </c>
      <c r="S114" s="5" t="b">
        <v>1</v>
      </c>
      <c r="T114" t="b">
        <v>1</v>
      </c>
      <c r="U114" t="b">
        <v>1</v>
      </c>
      <c r="V114" t="s">
        <v>184</v>
      </c>
      <c r="W114">
        <v>0</v>
      </c>
      <c r="X114" s="6">
        <f>(COUNTIF(Table1[[#This Row],[Spreadsheet]:[Functionality Verified?]],"=TRUE")/7) * 100</f>
        <v>85.714285714285708</v>
      </c>
      <c r="Y114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4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4" t="str">
        <f>IF(COUNTBLANK(Table1[[#This Row],[Part 4]])=0,_xlfn.CONCAT(Table1[[#This Row],[Part 3]]," - "),IF(COUNTBLANK(Table1[[#This Row],[Part 3]])=0,Table1[[#This Row],[Part 3]],""))</f>
        <v xml:space="preserve">Fixed - </v>
      </c>
      <c r="AB114" t="str">
        <f>IF(COUNTBLANK(Table1[[#This Row],[Part 5]])=0,_xlfn.CONCAT(Table1[[#This Row],[Part 4]]," - "),IF(COUNTBLANK(Table1[[#This Row],[Part 4]])=0,Table1[[#This Row],[Part 4]],""))</f>
        <v>Logic_Out</v>
      </c>
      <c r="AC114" t="str">
        <f>IF(COUNTBLANK(Table1[[#This Row],[Part 6]])=0,_xlfn.CONCAT(Table1[[#This Row],[Part 5]]," - "),IF(COUNTBLANK(Table1[[#This Row],[Part 5]])=0,Table1[[#This Row],[Part 5]],""))</f>
        <v/>
      </c>
      <c r="AD114" t="str">
        <f>IF(COUNTBLANK(Table1[[#This Row],[Part 7]])=0,_xlfn.CONCAT(Table1[[#This Row],[Part 6]]," - "),IF(COUNTBLANK(Table1[[#This Row],[Part 6]])=0,Table1[[#This Row],[Part 6]],""))</f>
        <v/>
      </c>
      <c r="AE114" t="str">
        <f>IF(COUNTBLANK(Table1[[#This Row],[Part 7]])=0,Table1[[#This Row],[Part 7]],"")</f>
        <v/>
      </c>
    </row>
    <row r="115" spans="8:31" x14ac:dyDescent="0.35">
      <c r="H115" t="str">
        <f>_xlfn.CONCAT(Table1[[#This Row],[Eff pt 1]:[Eff pt 7]])</f>
        <v>Clock&amp;Timing - Oscillators  - Fixed - Ceramic Resonator</v>
      </c>
      <c r="I115" s="6" t="s">
        <v>153</v>
      </c>
      <c r="J115" t="s">
        <v>124</v>
      </c>
      <c r="K115" t="s">
        <v>125</v>
      </c>
      <c r="L115" t="s">
        <v>128</v>
      </c>
      <c r="P115" s="6" t="b">
        <v>0</v>
      </c>
      <c r="Q115" t="b">
        <v>0</v>
      </c>
      <c r="R115" t="b">
        <v>0</v>
      </c>
      <c r="S115" s="5" t="b">
        <v>0</v>
      </c>
      <c r="T115" t="b">
        <v>1</v>
      </c>
      <c r="U115" t="b">
        <v>0</v>
      </c>
      <c r="V115" t="b">
        <v>0</v>
      </c>
      <c r="W115">
        <v>0</v>
      </c>
      <c r="X115" s="6">
        <f>(COUNTIF(Table1[[#This Row],[Spreadsheet]:[Functionality Verified?]],"=TRUE")/7) * 100</f>
        <v>14.285714285714285</v>
      </c>
      <c r="Y115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5" t="str">
        <f>IF(COUNTBLANK(Table1[[#This Row],[Part 3]])=0,_xlfn.CONCAT(Table1[[#This Row],[Part 2]]," - "),IF(COUNTBLANK(Table1[[#This Row],[Part 2]])=0,Table1[[#This Row],[Part 2]],""))</f>
        <v xml:space="preserve">Oscillators  - </v>
      </c>
      <c r="AA115" t="str">
        <f>IF(COUNTBLANK(Table1[[#This Row],[Part 4]])=0,_xlfn.CONCAT(Table1[[#This Row],[Part 3]]," - "),IF(COUNTBLANK(Table1[[#This Row],[Part 3]])=0,Table1[[#This Row],[Part 3]],""))</f>
        <v xml:space="preserve">Fixed - </v>
      </c>
      <c r="AB115" t="str">
        <f>IF(COUNTBLANK(Table1[[#This Row],[Part 5]])=0,_xlfn.CONCAT(Table1[[#This Row],[Part 4]]," - "),IF(COUNTBLANK(Table1[[#This Row],[Part 4]])=0,Table1[[#This Row],[Part 4]],""))</f>
        <v>Ceramic Resonator</v>
      </c>
      <c r="AC115" t="str">
        <f>IF(COUNTBLANK(Table1[[#This Row],[Part 6]])=0,_xlfn.CONCAT(Table1[[#This Row],[Part 5]]," - "),IF(COUNTBLANK(Table1[[#This Row],[Part 5]])=0,Table1[[#This Row],[Part 5]],""))</f>
        <v/>
      </c>
      <c r="AD115" t="str">
        <f>IF(COUNTBLANK(Table1[[#This Row],[Part 7]])=0,_xlfn.CONCAT(Table1[[#This Row],[Part 6]]," - "),IF(COUNTBLANK(Table1[[#This Row],[Part 6]])=0,Table1[[#This Row],[Part 6]],""))</f>
        <v/>
      </c>
      <c r="AE115" t="str">
        <f>IF(COUNTBLANK(Table1[[#This Row],[Part 7]])=0,Table1[[#This Row],[Part 7]],"")</f>
        <v/>
      </c>
    </row>
    <row r="116" spans="8:31" x14ac:dyDescent="0.35">
      <c r="H116" t="str">
        <f>_xlfn.CONCAT(Table1[[#This Row],[Eff pt 1]:[Eff pt 7]])</f>
        <v>Clock&amp;Timing - ICs - DDS</v>
      </c>
      <c r="I116" s="6" t="s">
        <v>153</v>
      </c>
      <c r="J116" t="s">
        <v>100</v>
      </c>
      <c r="K116" t="s">
        <v>123</v>
      </c>
      <c r="P116" s="6" t="b">
        <v>0</v>
      </c>
      <c r="Q116" t="b">
        <v>0</v>
      </c>
      <c r="R116" t="b">
        <v>0</v>
      </c>
      <c r="S116" s="5" t="b">
        <v>0</v>
      </c>
      <c r="T116" t="b">
        <v>0</v>
      </c>
      <c r="U116" t="b">
        <v>1</v>
      </c>
      <c r="V116" t="b">
        <v>0</v>
      </c>
      <c r="W116">
        <v>0</v>
      </c>
      <c r="X116" s="6">
        <f>(COUNTIF(Table1[[#This Row],[Spreadsheet]:[Functionality Verified?]],"=TRUE")/7) * 100</f>
        <v>14.285714285714285</v>
      </c>
      <c r="Y116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16" t="str">
        <f>IF(COUNTBLANK(Table1[[#This Row],[Part 3]])=0,_xlfn.CONCAT(Table1[[#This Row],[Part 2]]," - "),IF(COUNTBLANK(Table1[[#This Row],[Part 2]])=0,Table1[[#This Row],[Part 2]],""))</f>
        <v xml:space="preserve">ICs - </v>
      </c>
      <c r="AA116" t="str">
        <f>IF(COUNTBLANK(Table1[[#This Row],[Part 4]])=0,_xlfn.CONCAT(Table1[[#This Row],[Part 3]]," - "),IF(COUNTBLANK(Table1[[#This Row],[Part 3]])=0,Table1[[#This Row],[Part 3]],""))</f>
        <v>DDS</v>
      </c>
      <c r="AB116" t="str">
        <f>IF(COUNTBLANK(Table1[[#This Row],[Part 5]])=0,_xlfn.CONCAT(Table1[[#This Row],[Part 4]]," - "),IF(COUNTBLANK(Table1[[#This Row],[Part 4]])=0,Table1[[#This Row],[Part 4]],""))</f>
        <v/>
      </c>
      <c r="AC116" t="str">
        <f>IF(COUNTBLANK(Table1[[#This Row],[Part 6]])=0,_xlfn.CONCAT(Table1[[#This Row],[Part 5]]," - "),IF(COUNTBLANK(Table1[[#This Row],[Part 5]])=0,Table1[[#This Row],[Part 5]],""))</f>
        <v/>
      </c>
      <c r="AD116" t="str">
        <f>IF(COUNTBLANK(Table1[[#This Row],[Part 7]])=0,_xlfn.CONCAT(Table1[[#This Row],[Part 6]]," - "),IF(COUNTBLANK(Table1[[#This Row],[Part 6]])=0,Table1[[#This Row],[Part 6]],""))</f>
        <v/>
      </c>
      <c r="AE116" t="str">
        <f>IF(COUNTBLANK(Table1[[#This Row],[Part 7]])=0,Table1[[#This Row],[Part 7]],"")</f>
        <v/>
      </c>
    </row>
    <row r="117" spans="8:31" x14ac:dyDescent="0.35">
      <c r="H117" t="str">
        <f>_xlfn.CONCAT(Table1[[#This Row],[Eff pt 1]:[Eff pt 7]])</f>
        <v>Capacitors - Polarized</v>
      </c>
      <c r="I117" s="6" t="s">
        <v>27</v>
      </c>
      <c r="J117" t="s">
        <v>28</v>
      </c>
      <c r="P117" s="6" t="b">
        <v>1</v>
      </c>
      <c r="Q117" t="b">
        <v>1</v>
      </c>
      <c r="R117" t="b">
        <v>1</v>
      </c>
      <c r="S117" s="5" t="b">
        <v>1</v>
      </c>
      <c r="T117" t="b">
        <v>1</v>
      </c>
      <c r="U117" t="b">
        <v>1</v>
      </c>
      <c r="V117" t="s">
        <v>184</v>
      </c>
      <c r="W117">
        <v>0</v>
      </c>
      <c r="X117" s="6">
        <f>(COUNTIF(Table1[[#This Row],[Spreadsheet]:[Functionality Verified?]],"=TRUE")/7) * 100</f>
        <v>85.714285714285708</v>
      </c>
      <c r="Y117" t="str">
        <f>IF(COUNTBLANK(Table1[[#This Row],[Part 2]])=0,_xlfn.CONCAT(Table1[[#This Row],[Part 1]]," - "),IF(COUNTBLANK(Table1[[#This Row],[Part 1]])=0,Table1[[#This Row],[Part 1]],""))</f>
        <v xml:space="preserve">Capacitors - </v>
      </c>
      <c r="Z117" t="str">
        <f>IF(COUNTBLANK(Table1[[#This Row],[Part 3]])=0,_xlfn.CONCAT(Table1[[#This Row],[Part 2]]," - "),IF(COUNTBLANK(Table1[[#This Row],[Part 2]])=0,Table1[[#This Row],[Part 2]],""))</f>
        <v>Polarized</v>
      </c>
      <c r="AA117" t="str">
        <f>IF(COUNTBLANK(Table1[[#This Row],[Part 4]])=0,_xlfn.CONCAT(Table1[[#This Row],[Part 3]]," - "),IF(COUNTBLANK(Table1[[#This Row],[Part 3]])=0,Table1[[#This Row],[Part 3]],""))</f>
        <v/>
      </c>
      <c r="AB117" t="str">
        <f>IF(COUNTBLANK(Table1[[#This Row],[Part 5]])=0,_xlfn.CONCAT(Table1[[#This Row],[Part 4]]," - "),IF(COUNTBLANK(Table1[[#This Row],[Part 4]])=0,Table1[[#This Row],[Part 4]],""))</f>
        <v/>
      </c>
      <c r="AC117" t="str">
        <f>IF(COUNTBLANK(Table1[[#This Row],[Part 6]])=0,_xlfn.CONCAT(Table1[[#This Row],[Part 5]]," - "),IF(COUNTBLANK(Table1[[#This Row],[Part 5]])=0,Table1[[#This Row],[Part 5]],""))</f>
        <v/>
      </c>
      <c r="AD117" t="str">
        <f>IF(COUNTBLANK(Table1[[#This Row],[Part 7]])=0,_xlfn.CONCAT(Table1[[#This Row],[Part 6]]," - "),IF(COUNTBLANK(Table1[[#This Row],[Part 6]])=0,Table1[[#This Row],[Part 6]],""))</f>
        <v/>
      </c>
      <c r="AE117" t="str">
        <f>IF(COUNTBLANK(Table1[[#This Row],[Part 7]])=0,Table1[[#This Row],[Part 7]],"")</f>
        <v/>
      </c>
    </row>
    <row r="118" spans="8:31" x14ac:dyDescent="0.35">
      <c r="H118" t="str">
        <f>_xlfn.CONCAT(Table1[[#This Row],[Eff pt 1]:[Eff pt 7]])</f>
        <v>Voltage References - Burried Zener</v>
      </c>
      <c r="I118" s="6" t="s">
        <v>185</v>
      </c>
      <c r="J118" t="s">
        <v>186</v>
      </c>
      <c r="P118" s="6" t="b">
        <v>1</v>
      </c>
      <c r="Q118" t="b">
        <v>1</v>
      </c>
      <c r="R118" t="b">
        <v>1</v>
      </c>
      <c r="S118" s="5" t="b">
        <v>1</v>
      </c>
      <c r="T118" t="b">
        <v>1</v>
      </c>
      <c r="U118" t="b">
        <v>1</v>
      </c>
      <c r="V118" t="b">
        <v>1</v>
      </c>
      <c r="W118">
        <v>-1</v>
      </c>
      <c r="X118" s="6">
        <f>(COUNTIF(Table1[[#This Row],[Spreadsheet]:[Functionality Verified?]],"=TRUE")/7) * 100</f>
        <v>100</v>
      </c>
      <c r="Y118" t="str">
        <f>IF(COUNTBLANK(Table1[[#This Row],[Part 2]])=0,_xlfn.CONCAT(Table1[[#This Row],[Part 1]]," - "),IF(COUNTBLANK(Table1[[#This Row],[Part 1]])=0,Table1[[#This Row],[Part 1]],""))</f>
        <v xml:space="preserve">Voltage References - </v>
      </c>
      <c r="Z118" t="str">
        <f>IF(COUNTBLANK(Table1[[#This Row],[Part 3]])=0,_xlfn.CONCAT(Table1[[#This Row],[Part 2]]," - "),IF(COUNTBLANK(Table1[[#This Row],[Part 2]])=0,Table1[[#This Row],[Part 2]],""))</f>
        <v>Burried Zener</v>
      </c>
      <c r="AA118" t="str">
        <f>IF(COUNTBLANK(Table1[[#This Row],[Part 4]])=0,_xlfn.CONCAT(Table1[[#This Row],[Part 3]]," - "),IF(COUNTBLANK(Table1[[#This Row],[Part 3]])=0,Table1[[#This Row],[Part 3]],""))</f>
        <v/>
      </c>
      <c r="AB118" t="str">
        <f>IF(COUNTBLANK(Table1[[#This Row],[Part 5]])=0,_xlfn.CONCAT(Table1[[#This Row],[Part 4]]," - "),IF(COUNTBLANK(Table1[[#This Row],[Part 4]])=0,Table1[[#This Row],[Part 4]],""))</f>
        <v/>
      </c>
      <c r="AC118" t="str">
        <f>IF(COUNTBLANK(Table1[[#This Row],[Part 6]])=0,_xlfn.CONCAT(Table1[[#This Row],[Part 5]]," - "),IF(COUNTBLANK(Table1[[#This Row],[Part 5]])=0,Table1[[#This Row],[Part 5]],""))</f>
        <v/>
      </c>
      <c r="AD118" t="str">
        <f>IF(COUNTBLANK(Table1[[#This Row],[Part 7]])=0,_xlfn.CONCAT(Table1[[#This Row],[Part 6]]," - "),IF(COUNTBLANK(Table1[[#This Row],[Part 6]])=0,Table1[[#This Row],[Part 6]],""))</f>
        <v/>
      </c>
      <c r="AE118" t="str">
        <f>IF(COUNTBLANK(Table1[[#This Row],[Part 7]])=0,Table1[[#This Row],[Part 7]],"")</f>
        <v/>
      </c>
    </row>
    <row r="119" spans="8:31" x14ac:dyDescent="0.35">
      <c r="H119" t="str">
        <f>_xlfn.CONCAT(Table1[[#This Row],[Eff pt 1]:[Eff pt 7]])</f>
        <v>Thermal - Pads</v>
      </c>
      <c r="I119" s="6" t="s">
        <v>45</v>
      </c>
      <c r="J119" t="s">
        <v>47</v>
      </c>
      <c r="P119" s="6" t="b">
        <v>1</v>
      </c>
      <c r="Q119" t="b">
        <v>1</v>
      </c>
      <c r="R119" t="b">
        <v>1</v>
      </c>
      <c r="S119" s="5" t="b">
        <v>1</v>
      </c>
      <c r="T119" t="b">
        <v>1</v>
      </c>
      <c r="U119" t="b">
        <v>1</v>
      </c>
      <c r="V119" t="b">
        <v>1</v>
      </c>
      <c r="W119">
        <v>-1</v>
      </c>
      <c r="X119" s="6">
        <f>(COUNTIF(Table1[[#This Row],[Spreadsheet]:[Functionality Verified?]],"=TRUE")/7) * 100</f>
        <v>100</v>
      </c>
      <c r="Y119" t="str">
        <f>IF(COUNTBLANK(Table1[[#This Row],[Part 2]])=0,_xlfn.CONCAT(Table1[[#This Row],[Part 1]]," - "),IF(COUNTBLANK(Table1[[#This Row],[Part 1]])=0,Table1[[#This Row],[Part 1]],""))</f>
        <v xml:space="preserve">Thermal - </v>
      </c>
      <c r="Z119" t="str">
        <f>IF(COUNTBLANK(Table1[[#This Row],[Part 3]])=0,_xlfn.CONCAT(Table1[[#This Row],[Part 2]]," - "),IF(COUNTBLANK(Table1[[#This Row],[Part 2]])=0,Table1[[#This Row],[Part 2]],""))</f>
        <v>Pads</v>
      </c>
      <c r="AA119" t="str">
        <f>IF(COUNTBLANK(Table1[[#This Row],[Part 4]])=0,_xlfn.CONCAT(Table1[[#This Row],[Part 3]]," - "),IF(COUNTBLANK(Table1[[#This Row],[Part 3]])=0,Table1[[#This Row],[Part 3]],""))</f>
        <v/>
      </c>
      <c r="AB119" t="str">
        <f>IF(COUNTBLANK(Table1[[#This Row],[Part 5]])=0,_xlfn.CONCAT(Table1[[#This Row],[Part 4]]," - "),IF(COUNTBLANK(Table1[[#This Row],[Part 4]])=0,Table1[[#This Row],[Part 4]],""))</f>
        <v/>
      </c>
      <c r="AC119" t="str">
        <f>IF(COUNTBLANK(Table1[[#This Row],[Part 6]])=0,_xlfn.CONCAT(Table1[[#This Row],[Part 5]]," - "),IF(COUNTBLANK(Table1[[#This Row],[Part 5]])=0,Table1[[#This Row],[Part 5]],""))</f>
        <v/>
      </c>
      <c r="AD119" t="str">
        <f>IF(COUNTBLANK(Table1[[#This Row],[Part 7]])=0,_xlfn.CONCAT(Table1[[#This Row],[Part 6]]," - "),IF(COUNTBLANK(Table1[[#This Row],[Part 6]])=0,Table1[[#This Row],[Part 6]],""))</f>
        <v/>
      </c>
      <c r="AE119" t="str">
        <f>IF(COUNTBLANK(Table1[[#This Row],[Part 7]])=0,Table1[[#This Row],[Part 7]],"")</f>
        <v/>
      </c>
    </row>
    <row r="120" spans="8:31" x14ac:dyDescent="0.35">
      <c r="H120" t="str">
        <f>_xlfn.CONCAT(Table1[[#This Row],[Eff pt 1]:[Eff pt 7]])</f>
        <v>Thermal - Heat Sinks</v>
      </c>
      <c r="I120" s="6" t="s">
        <v>45</v>
      </c>
      <c r="J120" t="s">
        <v>46</v>
      </c>
      <c r="P120" s="6" t="b">
        <v>1</v>
      </c>
      <c r="Q120" t="b">
        <v>1</v>
      </c>
      <c r="R120" t="b">
        <v>1</v>
      </c>
      <c r="S120" s="5" t="b">
        <v>1</v>
      </c>
      <c r="T120" t="b">
        <v>1</v>
      </c>
      <c r="U120" t="b">
        <v>1</v>
      </c>
      <c r="V120" t="b">
        <v>1</v>
      </c>
      <c r="W120">
        <v>-1</v>
      </c>
      <c r="X120" s="6">
        <f>(COUNTIF(Table1[[#This Row],[Spreadsheet]:[Functionality Verified?]],"=TRUE")/7) * 100</f>
        <v>100</v>
      </c>
      <c r="Y120" t="str">
        <f>IF(COUNTBLANK(Table1[[#This Row],[Part 2]])=0,_xlfn.CONCAT(Table1[[#This Row],[Part 1]]," - "),IF(COUNTBLANK(Table1[[#This Row],[Part 1]])=0,Table1[[#This Row],[Part 1]],""))</f>
        <v xml:space="preserve">Thermal - </v>
      </c>
      <c r="Z120" t="str">
        <f>IF(COUNTBLANK(Table1[[#This Row],[Part 3]])=0,_xlfn.CONCAT(Table1[[#This Row],[Part 2]]," - "),IF(COUNTBLANK(Table1[[#This Row],[Part 2]])=0,Table1[[#This Row],[Part 2]],""))</f>
        <v>Heat Sinks</v>
      </c>
      <c r="AA120" t="str">
        <f>IF(COUNTBLANK(Table1[[#This Row],[Part 4]])=0,_xlfn.CONCAT(Table1[[#This Row],[Part 3]]," - "),IF(COUNTBLANK(Table1[[#This Row],[Part 3]])=0,Table1[[#This Row],[Part 3]],""))</f>
        <v/>
      </c>
      <c r="AB120" t="str">
        <f>IF(COUNTBLANK(Table1[[#This Row],[Part 5]])=0,_xlfn.CONCAT(Table1[[#This Row],[Part 4]]," - "),IF(COUNTBLANK(Table1[[#This Row],[Part 4]])=0,Table1[[#This Row],[Part 4]],""))</f>
        <v/>
      </c>
      <c r="AC120" t="str">
        <f>IF(COUNTBLANK(Table1[[#This Row],[Part 6]])=0,_xlfn.CONCAT(Table1[[#This Row],[Part 5]]," - "),IF(COUNTBLANK(Table1[[#This Row],[Part 5]])=0,Table1[[#This Row],[Part 5]],""))</f>
        <v/>
      </c>
      <c r="AD120" t="str">
        <f>IF(COUNTBLANK(Table1[[#This Row],[Part 7]])=0,_xlfn.CONCAT(Table1[[#This Row],[Part 6]]," - "),IF(COUNTBLANK(Table1[[#This Row],[Part 6]])=0,Table1[[#This Row],[Part 6]],""))</f>
        <v/>
      </c>
      <c r="AE120" t="str">
        <f>IF(COUNTBLANK(Table1[[#This Row],[Part 7]])=0,Table1[[#This Row],[Part 7]],"")</f>
        <v/>
      </c>
    </row>
    <row r="121" spans="8:31" x14ac:dyDescent="0.35">
      <c r="H121" t="str">
        <f>_xlfn.CONCAT(Table1[[#This Row],[Eff pt 1]:[Eff pt 7]])</f>
        <v>Switches - Tactile</v>
      </c>
      <c r="I121" s="6" t="s">
        <v>181</v>
      </c>
      <c r="J121" t="s">
        <v>182</v>
      </c>
      <c r="P121" s="6" t="b">
        <v>1</v>
      </c>
      <c r="Q121" t="b">
        <v>1</v>
      </c>
      <c r="R121" t="b">
        <v>1</v>
      </c>
      <c r="S121" s="5" t="b">
        <v>1</v>
      </c>
      <c r="T121" t="b">
        <v>1</v>
      </c>
      <c r="U121" t="b">
        <v>1</v>
      </c>
      <c r="V121" t="b">
        <v>1</v>
      </c>
      <c r="W121">
        <v>-1</v>
      </c>
      <c r="X121" s="6">
        <f>(COUNTIF(Table1[[#This Row],[Spreadsheet]:[Functionality Verified?]],"=TRUE")/7) * 100</f>
        <v>100</v>
      </c>
      <c r="Y121" t="str">
        <f>IF(COUNTBLANK(Table1[[#This Row],[Part 2]])=0,_xlfn.CONCAT(Table1[[#This Row],[Part 1]]," - "),IF(COUNTBLANK(Table1[[#This Row],[Part 1]])=0,Table1[[#This Row],[Part 1]],""))</f>
        <v xml:space="preserve">Switches - </v>
      </c>
      <c r="Z121" t="str">
        <f>IF(COUNTBLANK(Table1[[#This Row],[Part 3]])=0,_xlfn.CONCAT(Table1[[#This Row],[Part 2]]," - "),IF(COUNTBLANK(Table1[[#This Row],[Part 2]])=0,Table1[[#This Row],[Part 2]],""))</f>
        <v>Tactile</v>
      </c>
      <c r="AA121" t="str">
        <f>IF(COUNTBLANK(Table1[[#This Row],[Part 4]])=0,_xlfn.CONCAT(Table1[[#This Row],[Part 3]]," - "),IF(COUNTBLANK(Table1[[#This Row],[Part 3]])=0,Table1[[#This Row],[Part 3]],""))</f>
        <v/>
      </c>
      <c r="AB121" t="str">
        <f>IF(COUNTBLANK(Table1[[#This Row],[Part 5]])=0,_xlfn.CONCAT(Table1[[#This Row],[Part 4]]," - "),IF(COUNTBLANK(Table1[[#This Row],[Part 4]])=0,Table1[[#This Row],[Part 4]],""))</f>
        <v/>
      </c>
      <c r="AC121" t="str">
        <f>IF(COUNTBLANK(Table1[[#This Row],[Part 6]])=0,_xlfn.CONCAT(Table1[[#This Row],[Part 5]]," - "),IF(COUNTBLANK(Table1[[#This Row],[Part 5]])=0,Table1[[#This Row],[Part 5]],""))</f>
        <v/>
      </c>
      <c r="AD121" t="str">
        <f>IF(COUNTBLANK(Table1[[#This Row],[Part 7]])=0,_xlfn.CONCAT(Table1[[#This Row],[Part 6]]," - "),IF(COUNTBLANK(Table1[[#This Row],[Part 6]])=0,Table1[[#This Row],[Part 6]],""))</f>
        <v/>
      </c>
      <c r="AE121" t="str">
        <f>IF(COUNTBLANK(Table1[[#This Row],[Part 7]])=0,Table1[[#This Row],[Part 7]],"")</f>
        <v/>
      </c>
    </row>
    <row r="122" spans="8:31" x14ac:dyDescent="0.35">
      <c r="H122" t="str">
        <f>_xlfn.CONCAT(Table1[[#This Row],[Eff pt 1]:[Eff pt 7]])</f>
        <v>Switches - Slide</v>
      </c>
      <c r="I122" s="6" t="s">
        <v>181</v>
      </c>
      <c r="J122" t="s">
        <v>190</v>
      </c>
      <c r="P122" s="6" t="b">
        <v>1</v>
      </c>
      <c r="Q122" t="b">
        <v>1</v>
      </c>
      <c r="R122" t="b">
        <v>1</v>
      </c>
      <c r="S122" s="5" t="b">
        <v>1</v>
      </c>
      <c r="T122" t="b">
        <v>1</v>
      </c>
      <c r="U122" t="b">
        <v>1</v>
      </c>
      <c r="V122" t="b">
        <v>1</v>
      </c>
      <c r="W122">
        <v>-1</v>
      </c>
      <c r="X122" s="6">
        <f>(COUNTIF(Table1[[#This Row],[Spreadsheet]:[Functionality Verified?]],"=TRUE")/7) * 100</f>
        <v>100</v>
      </c>
      <c r="Y122" t="str">
        <f>IF(COUNTBLANK(Table1[[#This Row],[Part 2]])=0,_xlfn.CONCAT(Table1[[#This Row],[Part 1]]," - "),IF(COUNTBLANK(Table1[[#This Row],[Part 1]])=0,Table1[[#This Row],[Part 1]],""))</f>
        <v xml:space="preserve">Switches - </v>
      </c>
      <c r="Z122" t="str">
        <f>IF(COUNTBLANK(Table1[[#This Row],[Part 3]])=0,_xlfn.CONCAT(Table1[[#This Row],[Part 2]]," - "),IF(COUNTBLANK(Table1[[#This Row],[Part 2]])=0,Table1[[#This Row],[Part 2]],""))</f>
        <v>Slide</v>
      </c>
      <c r="AA122" t="str">
        <f>IF(COUNTBLANK(Table1[[#This Row],[Part 4]])=0,_xlfn.CONCAT(Table1[[#This Row],[Part 3]]," - "),IF(COUNTBLANK(Table1[[#This Row],[Part 3]])=0,Table1[[#This Row],[Part 3]],""))</f>
        <v/>
      </c>
      <c r="AB122" t="str">
        <f>IF(COUNTBLANK(Table1[[#This Row],[Part 5]])=0,_xlfn.CONCAT(Table1[[#This Row],[Part 4]]," - "),IF(COUNTBLANK(Table1[[#This Row],[Part 4]])=0,Table1[[#This Row],[Part 4]],""))</f>
        <v/>
      </c>
      <c r="AC122" t="str">
        <f>IF(COUNTBLANK(Table1[[#This Row],[Part 6]])=0,_xlfn.CONCAT(Table1[[#This Row],[Part 5]]," - "),IF(COUNTBLANK(Table1[[#This Row],[Part 5]])=0,Table1[[#This Row],[Part 5]],""))</f>
        <v/>
      </c>
      <c r="AD122" t="str">
        <f>IF(COUNTBLANK(Table1[[#This Row],[Part 7]])=0,_xlfn.CONCAT(Table1[[#This Row],[Part 6]]," - "),IF(COUNTBLANK(Table1[[#This Row],[Part 6]])=0,Table1[[#This Row],[Part 6]],""))</f>
        <v/>
      </c>
      <c r="AE122" t="str">
        <f>IF(COUNTBLANK(Table1[[#This Row],[Part 7]])=0,Table1[[#This Row],[Part 7]],"")</f>
        <v/>
      </c>
    </row>
    <row r="123" spans="8:31" x14ac:dyDescent="0.35">
      <c r="H123" t="str">
        <f>_xlfn.CONCAT(Table1[[#This Row],[Eff pt 1]:[Eff pt 7]])</f>
        <v>Switches - Push</v>
      </c>
      <c r="I123" s="6" t="s">
        <v>181</v>
      </c>
      <c r="J123" t="s">
        <v>203</v>
      </c>
      <c r="P123" s="6" t="b">
        <v>1</v>
      </c>
      <c r="Q123" t="b">
        <v>1</v>
      </c>
      <c r="R123" t="b">
        <v>1</v>
      </c>
      <c r="S123" s="5" t="b">
        <v>1</v>
      </c>
      <c r="T123" t="b">
        <v>1</v>
      </c>
      <c r="U123" t="b">
        <v>1</v>
      </c>
      <c r="V123" t="b">
        <v>1</v>
      </c>
      <c r="W123">
        <v>-1</v>
      </c>
      <c r="X123" s="6">
        <f>(COUNTIF(Table1[[#This Row],[Spreadsheet]:[Functionality Verified?]],"=TRUE")/7) * 100</f>
        <v>100</v>
      </c>
      <c r="Y123" t="str">
        <f>IF(COUNTBLANK(Table1[[#This Row],[Part 2]])=0,_xlfn.CONCAT(Table1[[#This Row],[Part 1]]," - "),IF(COUNTBLANK(Table1[[#This Row],[Part 1]])=0,Table1[[#This Row],[Part 1]],""))</f>
        <v xml:space="preserve">Switches - </v>
      </c>
      <c r="Z123" t="str">
        <f>IF(COUNTBLANK(Table1[[#This Row],[Part 3]])=0,_xlfn.CONCAT(Table1[[#This Row],[Part 2]]," - "),IF(COUNTBLANK(Table1[[#This Row],[Part 2]])=0,Table1[[#This Row],[Part 2]],""))</f>
        <v>Push</v>
      </c>
      <c r="AA123" t="str">
        <f>IF(COUNTBLANK(Table1[[#This Row],[Part 4]])=0,_xlfn.CONCAT(Table1[[#This Row],[Part 3]]," - "),IF(COUNTBLANK(Table1[[#This Row],[Part 3]])=0,Table1[[#This Row],[Part 3]],""))</f>
        <v/>
      </c>
      <c r="AB123" t="str">
        <f>IF(COUNTBLANK(Table1[[#This Row],[Part 5]])=0,_xlfn.CONCAT(Table1[[#This Row],[Part 4]]," - "),IF(COUNTBLANK(Table1[[#This Row],[Part 4]])=0,Table1[[#This Row],[Part 4]],""))</f>
        <v/>
      </c>
      <c r="AC123" t="str">
        <f>IF(COUNTBLANK(Table1[[#This Row],[Part 6]])=0,_xlfn.CONCAT(Table1[[#This Row],[Part 5]]," - "),IF(COUNTBLANK(Table1[[#This Row],[Part 5]])=0,Table1[[#This Row],[Part 5]],""))</f>
        <v/>
      </c>
      <c r="AD123" t="str">
        <f>IF(COUNTBLANK(Table1[[#This Row],[Part 7]])=0,_xlfn.CONCAT(Table1[[#This Row],[Part 6]]," - "),IF(COUNTBLANK(Table1[[#This Row],[Part 6]])=0,Table1[[#This Row],[Part 6]],""))</f>
        <v/>
      </c>
      <c r="AE123" t="str">
        <f>IF(COUNTBLANK(Table1[[#This Row],[Part 7]])=0,Table1[[#This Row],[Part 7]],"")</f>
        <v/>
      </c>
    </row>
    <row r="124" spans="8:31" x14ac:dyDescent="0.35">
      <c r="H124" t="str">
        <f>_xlfn.CONCAT(Table1[[#This Row],[Eff pt 1]:[Eff pt 7]])</f>
        <v>Resistors - Single - SMD</v>
      </c>
      <c r="I124" s="6" t="s">
        <v>42</v>
      </c>
      <c r="J124" t="s">
        <v>43</v>
      </c>
      <c r="K124" t="s">
        <v>44</v>
      </c>
      <c r="P124" s="6" t="b">
        <v>1</v>
      </c>
      <c r="Q124" t="b">
        <v>1</v>
      </c>
      <c r="R124" t="b">
        <v>1</v>
      </c>
      <c r="S124" s="5" t="b">
        <v>1</v>
      </c>
      <c r="T124" t="b">
        <v>1</v>
      </c>
      <c r="U124" t="b">
        <v>1</v>
      </c>
      <c r="V124" t="b">
        <v>1</v>
      </c>
      <c r="W124">
        <v>-1</v>
      </c>
      <c r="X124" s="6">
        <f>(COUNTIF(Table1[[#This Row],[Spreadsheet]:[Functionality Verified?]],"=TRUE")/7) * 100</f>
        <v>100</v>
      </c>
      <c r="Y124" t="str">
        <f>IF(COUNTBLANK(Table1[[#This Row],[Part 2]])=0,_xlfn.CONCAT(Table1[[#This Row],[Part 1]]," - "),IF(COUNTBLANK(Table1[[#This Row],[Part 1]])=0,Table1[[#This Row],[Part 1]],""))</f>
        <v xml:space="preserve">Resistors - </v>
      </c>
      <c r="Z124" t="str">
        <f>IF(COUNTBLANK(Table1[[#This Row],[Part 3]])=0,_xlfn.CONCAT(Table1[[#This Row],[Part 2]]," - "),IF(COUNTBLANK(Table1[[#This Row],[Part 2]])=0,Table1[[#This Row],[Part 2]],""))</f>
        <v xml:space="preserve">Single - </v>
      </c>
      <c r="AA124" t="str">
        <f>IF(COUNTBLANK(Table1[[#This Row],[Part 4]])=0,_xlfn.CONCAT(Table1[[#This Row],[Part 3]]," - "),IF(COUNTBLANK(Table1[[#This Row],[Part 3]])=0,Table1[[#This Row],[Part 3]],""))</f>
        <v>SMD</v>
      </c>
      <c r="AB124" t="str">
        <f>IF(COUNTBLANK(Table1[[#This Row],[Part 5]])=0,_xlfn.CONCAT(Table1[[#This Row],[Part 4]]," - "),IF(COUNTBLANK(Table1[[#This Row],[Part 4]])=0,Table1[[#This Row],[Part 4]],""))</f>
        <v/>
      </c>
      <c r="AC124" t="str">
        <f>IF(COUNTBLANK(Table1[[#This Row],[Part 6]])=0,_xlfn.CONCAT(Table1[[#This Row],[Part 5]]," - "),IF(COUNTBLANK(Table1[[#This Row],[Part 5]])=0,Table1[[#This Row],[Part 5]],""))</f>
        <v/>
      </c>
      <c r="AD124" t="str">
        <f>IF(COUNTBLANK(Table1[[#This Row],[Part 7]])=0,_xlfn.CONCAT(Table1[[#This Row],[Part 6]]," - "),IF(COUNTBLANK(Table1[[#This Row],[Part 6]])=0,Table1[[#This Row],[Part 6]],""))</f>
        <v/>
      </c>
      <c r="AE124" t="str">
        <f>IF(COUNTBLANK(Table1[[#This Row],[Part 7]])=0,Table1[[#This Row],[Part 7]],"")</f>
        <v/>
      </c>
    </row>
    <row r="125" spans="8:31" x14ac:dyDescent="0.35">
      <c r="H125" t="str">
        <f>_xlfn.CONCAT(Table1[[#This Row],[Eff pt 1]:[Eff pt 7]])</f>
        <v>Resistors - Isolated Array</v>
      </c>
      <c r="I125" s="6" t="s">
        <v>42</v>
      </c>
      <c r="J125" t="s">
        <v>50</v>
      </c>
      <c r="P125" s="6" t="b">
        <v>1</v>
      </c>
      <c r="Q125" t="b">
        <v>1</v>
      </c>
      <c r="R125" t="b">
        <v>1</v>
      </c>
      <c r="S125" s="5" t="b">
        <v>1</v>
      </c>
      <c r="T125" t="b">
        <v>1</v>
      </c>
      <c r="U125" t="b">
        <v>1</v>
      </c>
      <c r="V125" t="b">
        <v>1</v>
      </c>
      <c r="W125">
        <v>-1</v>
      </c>
      <c r="X125" s="6">
        <f>(COUNTIF(Table1[[#This Row],[Spreadsheet]:[Functionality Verified?]],"=TRUE")/7) * 100</f>
        <v>100</v>
      </c>
      <c r="Y125" t="str">
        <f>IF(COUNTBLANK(Table1[[#This Row],[Part 2]])=0,_xlfn.CONCAT(Table1[[#This Row],[Part 1]]," - "),IF(COUNTBLANK(Table1[[#This Row],[Part 1]])=0,Table1[[#This Row],[Part 1]],""))</f>
        <v xml:space="preserve">Resistors - </v>
      </c>
      <c r="Z125" t="str">
        <f>IF(COUNTBLANK(Table1[[#This Row],[Part 3]])=0,_xlfn.CONCAT(Table1[[#This Row],[Part 2]]," - "),IF(COUNTBLANK(Table1[[#This Row],[Part 2]])=0,Table1[[#This Row],[Part 2]],""))</f>
        <v>Isolated Array</v>
      </c>
      <c r="AA125" t="str">
        <f>IF(COUNTBLANK(Table1[[#This Row],[Part 4]])=0,_xlfn.CONCAT(Table1[[#This Row],[Part 3]]," - "),IF(COUNTBLANK(Table1[[#This Row],[Part 3]])=0,Table1[[#This Row],[Part 3]],""))</f>
        <v/>
      </c>
      <c r="AB125" t="str">
        <f>IF(COUNTBLANK(Table1[[#This Row],[Part 5]])=0,_xlfn.CONCAT(Table1[[#This Row],[Part 4]]," - "),IF(COUNTBLANK(Table1[[#This Row],[Part 4]])=0,Table1[[#This Row],[Part 4]],""))</f>
        <v/>
      </c>
      <c r="AC125" t="str">
        <f>IF(COUNTBLANK(Table1[[#This Row],[Part 6]])=0,_xlfn.CONCAT(Table1[[#This Row],[Part 5]]," - "),IF(COUNTBLANK(Table1[[#This Row],[Part 5]])=0,Table1[[#This Row],[Part 5]],""))</f>
        <v/>
      </c>
      <c r="AD125" t="str">
        <f>IF(COUNTBLANK(Table1[[#This Row],[Part 7]])=0,_xlfn.CONCAT(Table1[[#This Row],[Part 6]]," - "),IF(COUNTBLANK(Table1[[#This Row],[Part 6]])=0,Table1[[#This Row],[Part 6]],""))</f>
        <v/>
      </c>
      <c r="AE125" t="str">
        <f>IF(COUNTBLANK(Table1[[#This Row],[Part 7]])=0,Table1[[#This Row],[Part 7]],"")</f>
        <v/>
      </c>
    </row>
    <row r="126" spans="8:31" x14ac:dyDescent="0.35">
      <c r="H126" t="str">
        <f>_xlfn.CONCAT(Table1[[#This Row],[Eff pt 1]:[Eff pt 7]])</f>
        <v>PSUs - Wall Wart</v>
      </c>
      <c r="I126" s="6" t="s">
        <v>81</v>
      </c>
      <c r="J126" t="s">
        <v>196</v>
      </c>
      <c r="P126" s="6" t="b">
        <v>1</v>
      </c>
      <c r="Q126" t="b">
        <v>1</v>
      </c>
      <c r="R126" t="b">
        <v>1</v>
      </c>
      <c r="S126" s="5" t="b">
        <v>1</v>
      </c>
      <c r="T126" t="b">
        <v>1</v>
      </c>
      <c r="U126" t="b">
        <v>1</v>
      </c>
      <c r="V126" t="b">
        <v>1</v>
      </c>
      <c r="W126">
        <v>-1</v>
      </c>
      <c r="X126" s="6">
        <f>(COUNTIF(Table1[[#This Row],[Spreadsheet]:[Functionality Verified?]],"=TRUE")/7) * 100</f>
        <v>100</v>
      </c>
      <c r="Y126" t="str">
        <f>IF(COUNTBLANK(Table1[[#This Row],[Part 2]])=0,_xlfn.CONCAT(Table1[[#This Row],[Part 1]]," - "),IF(COUNTBLANK(Table1[[#This Row],[Part 1]])=0,Table1[[#This Row],[Part 1]],""))</f>
        <v xml:space="preserve">PSUs - </v>
      </c>
      <c r="Z126" t="str">
        <f>IF(COUNTBLANK(Table1[[#This Row],[Part 3]])=0,_xlfn.CONCAT(Table1[[#This Row],[Part 2]]," - "),IF(COUNTBLANK(Table1[[#This Row],[Part 2]])=0,Table1[[#This Row],[Part 2]],""))</f>
        <v>Wall Wart</v>
      </c>
      <c r="AA126" t="str">
        <f>IF(COUNTBLANK(Table1[[#This Row],[Part 4]])=0,_xlfn.CONCAT(Table1[[#This Row],[Part 3]]," - "),IF(COUNTBLANK(Table1[[#This Row],[Part 3]])=0,Table1[[#This Row],[Part 3]],""))</f>
        <v/>
      </c>
      <c r="AB126" t="str">
        <f>IF(COUNTBLANK(Table1[[#This Row],[Part 5]])=0,_xlfn.CONCAT(Table1[[#This Row],[Part 4]]," - "),IF(COUNTBLANK(Table1[[#This Row],[Part 4]])=0,Table1[[#This Row],[Part 4]],""))</f>
        <v/>
      </c>
      <c r="AC126" t="str">
        <f>IF(COUNTBLANK(Table1[[#This Row],[Part 6]])=0,_xlfn.CONCAT(Table1[[#This Row],[Part 5]]," - "),IF(COUNTBLANK(Table1[[#This Row],[Part 5]])=0,Table1[[#This Row],[Part 5]],""))</f>
        <v/>
      </c>
      <c r="AD126" t="str">
        <f>IF(COUNTBLANK(Table1[[#This Row],[Part 7]])=0,_xlfn.CONCAT(Table1[[#This Row],[Part 6]]," - "),IF(COUNTBLANK(Table1[[#This Row],[Part 6]])=0,Table1[[#This Row],[Part 6]],""))</f>
        <v/>
      </c>
      <c r="AE126" t="str">
        <f>IF(COUNTBLANK(Table1[[#This Row],[Part 7]])=0,Table1[[#This Row],[Part 7]],"")</f>
        <v/>
      </c>
    </row>
    <row r="127" spans="8:31" x14ac:dyDescent="0.35">
      <c r="H127" t="str">
        <f>_xlfn.CONCAT(Table1[[#This Row],[Eff pt 1]:[Eff pt 7]])</f>
        <v>PSUs - PCB Mount - DC-DC - Non-Isolated</v>
      </c>
      <c r="I127" s="6" t="s">
        <v>81</v>
      </c>
      <c r="J127" t="s">
        <v>69</v>
      </c>
      <c r="K127" t="s">
        <v>83</v>
      </c>
      <c r="L127" t="s">
        <v>85</v>
      </c>
      <c r="P127" s="6" t="b">
        <v>1</v>
      </c>
      <c r="Q127" t="b">
        <v>1</v>
      </c>
      <c r="R127" t="b">
        <v>1</v>
      </c>
      <c r="S127" s="5" t="b">
        <v>1</v>
      </c>
      <c r="T127" t="b">
        <v>1</v>
      </c>
      <c r="U127" t="b">
        <v>1</v>
      </c>
      <c r="V127" t="b">
        <v>1</v>
      </c>
      <c r="W127">
        <v>-1</v>
      </c>
      <c r="X127" s="6">
        <f>(COUNTIF(Table1[[#This Row],[Spreadsheet]:[Functionality Verified?]],"=TRUE")/7) * 100</f>
        <v>100</v>
      </c>
      <c r="Y127" t="str">
        <f>IF(COUNTBLANK(Table1[[#This Row],[Part 2]])=0,_xlfn.CONCAT(Table1[[#This Row],[Part 1]]," - "),IF(COUNTBLANK(Table1[[#This Row],[Part 1]])=0,Table1[[#This Row],[Part 1]],""))</f>
        <v xml:space="preserve">PSUs - </v>
      </c>
      <c r="Z127" t="str">
        <f>IF(COUNTBLANK(Table1[[#This Row],[Part 3]])=0,_xlfn.CONCAT(Table1[[#This Row],[Part 2]]," - "),IF(COUNTBLANK(Table1[[#This Row],[Part 2]])=0,Table1[[#This Row],[Part 2]],""))</f>
        <v xml:space="preserve">PCB Mount - </v>
      </c>
      <c r="AA127" t="str">
        <f>IF(COUNTBLANK(Table1[[#This Row],[Part 4]])=0,_xlfn.CONCAT(Table1[[#This Row],[Part 3]]," - "),IF(COUNTBLANK(Table1[[#This Row],[Part 3]])=0,Table1[[#This Row],[Part 3]],""))</f>
        <v xml:space="preserve">DC-DC - </v>
      </c>
      <c r="AB127" t="str">
        <f>IF(COUNTBLANK(Table1[[#This Row],[Part 5]])=0,_xlfn.CONCAT(Table1[[#This Row],[Part 4]]," - "),IF(COUNTBLANK(Table1[[#This Row],[Part 4]])=0,Table1[[#This Row],[Part 4]],""))</f>
        <v>Non-Isolated</v>
      </c>
      <c r="AC127" t="str">
        <f>IF(COUNTBLANK(Table1[[#This Row],[Part 6]])=0,_xlfn.CONCAT(Table1[[#This Row],[Part 5]]," - "),IF(COUNTBLANK(Table1[[#This Row],[Part 5]])=0,Table1[[#This Row],[Part 5]],""))</f>
        <v/>
      </c>
      <c r="AD127" t="str">
        <f>IF(COUNTBLANK(Table1[[#This Row],[Part 7]])=0,_xlfn.CONCAT(Table1[[#This Row],[Part 6]]," - "),IF(COUNTBLANK(Table1[[#This Row],[Part 6]])=0,Table1[[#This Row],[Part 6]],""))</f>
        <v/>
      </c>
      <c r="AE127" t="str">
        <f>IF(COUNTBLANK(Table1[[#This Row],[Part 7]])=0,Table1[[#This Row],[Part 7]],"")</f>
        <v/>
      </c>
    </row>
    <row r="128" spans="8:31" x14ac:dyDescent="0.35">
      <c r="H128" t="str">
        <f>_xlfn.CONCAT(Table1[[#This Row],[Eff pt 1]:[Eff pt 7]])</f>
        <v>Protection - TVS Diode</v>
      </c>
      <c r="I128" s="6" t="s">
        <v>38</v>
      </c>
      <c r="J128" t="s">
        <v>79</v>
      </c>
      <c r="P128" s="6" t="b">
        <v>1</v>
      </c>
      <c r="Q128" t="b">
        <v>1</v>
      </c>
      <c r="R128" t="b">
        <v>1</v>
      </c>
      <c r="S128" s="5" t="b">
        <v>1</v>
      </c>
      <c r="T128" t="b">
        <v>1</v>
      </c>
      <c r="U128" t="b">
        <v>1</v>
      </c>
      <c r="V128" t="b">
        <v>1</v>
      </c>
      <c r="W128">
        <v>-1</v>
      </c>
      <c r="X128" s="6">
        <f>(COUNTIF(Table1[[#This Row],[Spreadsheet]:[Functionality Verified?]],"=TRUE")/7) * 100</f>
        <v>100</v>
      </c>
      <c r="Y128" t="str">
        <f>IF(COUNTBLANK(Table1[[#This Row],[Part 2]])=0,_xlfn.CONCAT(Table1[[#This Row],[Part 1]]," - "),IF(COUNTBLANK(Table1[[#This Row],[Part 1]])=0,Table1[[#This Row],[Part 1]],""))</f>
        <v xml:space="preserve">Protection - </v>
      </c>
      <c r="Z128" t="str">
        <f>IF(COUNTBLANK(Table1[[#This Row],[Part 3]])=0,_xlfn.CONCAT(Table1[[#This Row],[Part 2]]," - "),IF(COUNTBLANK(Table1[[#This Row],[Part 2]])=0,Table1[[#This Row],[Part 2]],""))</f>
        <v>TVS Diode</v>
      </c>
      <c r="AA128" t="str">
        <f>IF(COUNTBLANK(Table1[[#This Row],[Part 4]])=0,_xlfn.CONCAT(Table1[[#This Row],[Part 3]]," - "),IF(COUNTBLANK(Table1[[#This Row],[Part 3]])=0,Table1[[#This Row],[Part 3]],""))</f>
        <v/>
      </c>
      <c r="AB128" t="str">
        <f>IF(COUNTBLANK(Table1[[#This Row],[Part 5]])=0,_xlfn.CONCAT(Table1[[#This Row],[Part 4]]," - "),IF(COUNTBLANK(Table1[[#This Row],[Part 4]])=0,Table1[[#This Row],[Part 4]],""))</f>
        <v/>
      </c>
      <c r="AC128" t="str">
        <f>IF(COUNTBLANK(Table1[[#This Row],[Part 6]])=0,_xlfn.CONCAT(Table1[[#This Row],[Part 5]]," - "),IF(COUNTBLANK(Table1[[#This Row],[Part 5]])=0,Table1[[#This Row],[Part 5]],""))</f>
        <v/>
      </c>
      <c r="AD128" t="str">
        <f>IF(COUNTBLANK(Table1[[#This Row],[Part 7]])=0,_xlfn.CONCAT(Table1[[#This Row],[Part 6]]," - "),IF(COUNTBLANK(Table1[[#This Row],[Part 6]])=0,Table1[[#This Row],[Part 6]],""))</f>
        <v/>
      </c>
      <c r="AE128" t="str">
        <f>IF(COUNTBLANK(Table1[[#This Row],[Part 7]])=0,Table1[[#This Row],[Part 7]],"")</f>
        <v/>
      </c>
    </row>
    <row r="129" spans="8:31" x14ac:dyDescent="0.35">
      <c r="H129" t="str">
        <f>_xlfn.CONCAT(Table1[[#This Row],[Eff pt 1]:[Eff pt 7]])</f>
        <v>Protection - MOVs</v>
      </c>
      <c r="I129" s="6" t="s">
        <v>38</v>
      </c>
      <c r="J129" t="s">
        <v>41</v>
      </c>
      <c r="P129" s="6" t="b">
        <v>1</v>
      </c>
      <c r="Q129" t="b">
        <v>1</v>
      </c>
      <c r="R129" t="b">
        <v>1</v>
      </c>
      <c r="S129" s="5" t="b">
        <v>1</v>
      </c>
      <c r="T129" t="b">
        <v>1</v>
      </c>
      <c r="U129" t="b">
        <v>1</v>
      </c>
      <c r="V129" t="b">
        <v>1</v>
      </c>
      <c r="W129">
        <v>-1</v>
      </c>
      <c r="X129" s="6">
        <f>(COUNTIF(Table1[[#This Row],[Spreadsheet]:[Functionality Verified?]],"=TRUE")/7) * 100</f>
        <v>100</v>
      </c>
      <c r="Y129" t="str">
        <f>IF(COUNTBLANK(Table1[[#This Row],[Part 2]])=0,_xlfn.CONCAT(Table1[[#This Row],[Part 1]]," - "),IF(COUNTBLANK(Table1[[#This Row],[Part 1]])=0,Table1[[#This Row],[Part 1]],""))</f>
        <v xml:space="preserve">Protection - </v>
      </c>
      <c r="Z129" t="str">
        <f>IF(COUNTBLANK(Table1[[#This Row],[Part 3]])=0,_xlfn.CONCAT(Table1[[#This Row],[Part 2]]," - "),IF(COUNTBLANK(Table1[[#This Row],[Part 2]])=0,Table1[[#This Row],[Part 2]],""))</f>
        <v>MOVs</v>
      </c>
      <c r="AA129" t="str">
        <f>IF(COUNTBLANK(Table1[[#This Row],[Part 4]])=0,_xlfn.CONCAT(Table1[[#This Row],[Part 3]]," - "),IF(COUNTBLANK(Table1[[#This Row],[Part 3]])=0,Table1[[#This Row],[Part 3]],""))</f>
        <v/>
      </c>
      <c r="AB129" t="str">
        <f>IF(COUNTBLANK(Table1[[#This Row],[Part 5]])=0,_xlfn.CONCAT(Table1[[#This Row],[Part 4]]," - "),IF(COUNTBLANK(Table1[[#This Row],[Part 4]])=0,Table1[[#This Row],[Part 4]],""))</f>
        <v/>
      </c>
      <c r="AC129" t="str">
        <f>IF(COUNTBLANK(Table1[[#This Row],[Part 6]])=0,_xlfn.CONCAT(Table1[[#This Row],[Part 5]]," - "),IF(COUNTBLANK(Table1[[#This Row],[Part 5]])=0,Table1[[#This Row],[Part 5]],""))</f>
        <v/>
      </c>
      <c r="AD129" t="str">
        <f>IF(COUNTBLANK(Table1[[#This Row],[Part 7]])=0,_xlfn.CONCAT(Table1[[#This Row],[Part 6]]," - "),IF(COUNTBLANK(Table1[[#This Row],[Part 6]])=0,Table1[[#This Row],[Part 6]],""))</f>
        <v/>
      </c>
      <c r="AE129" t="str">
        <f>IF(COUNTBLANK(Table1[[#This Row],[Part 7]])=0,Table1[[#This Row],[Part 7]],"")</f>
        <v/>
      </c>
    </row>
    <row r="130" spans="8:31" x14ac:dyDescent="0.35">
      <c r="H130" t="str">
        <f>_xlfn.CONCAT(Table1[[#This Row],[Eff pt 1]:[Eff pt 7]])</f>
        <v>Protection - GDT</v>
      </c>
      <c r="I130" s="6" t="s">
        <v>38</v>
      </c>
      <c r="J130" t="s">
        <v>40</v>
      </c>
      <c r="P130" s="6" t="b">
        <v>1</v>
      </c>
      <c r="Q130" t="b">
        <v>1</v>
      </c>
      <c r="R130" t="b">
        <v>1</v>
      </c>
      <c r="S130" s="5" t="b">
        <v>1</v>
      </c>
      <c r="T130" t="b">
        <v>1</v>
      </c>
      <c r="U130" t="b">
        <v>1</v>
      </c>
      <c r="V130" t="b">
        <v>1</v>
      </c>
      <c r="W130">
        <v>-1</v>
      </c>
      <c r="X130" s="6">
        <f>(COUNTIF(Table1[[#This Row],[Spreadsheet]:[Functionality Verified?]],"=TRUE")/7) * 100</f>
        <v>100</v>
      </c>
      <c r="Y130" t="str">
        <f>IF(COUNTBLANK(Table1[[#This Row],[Part 2]])=0,_xlfn.CONCAT(Table1[[#This Row],[Part 1]]," - "),IF(COUNTBLANK(Table1[[#This Row],[Part 1]])=0,Table1[[#This Row],[Part 1]],""))</f>
        <v xml:space="preserve">Protection - </v>
      </c>
      <c r="Z130" t="str">
        <f>IF(COUNTBLANK(Table1[[#This Row],[Part 3]])=0,_xlfn.CONCAT(Table1[[#This Row],[Part 2]]," - "),IF(COUNTBLANK(Table1[[#This Row],[Part 2]])=0,Table1[[#This Row],[Part 2]],""))</f>
        <v>GDT</v>
      </c>
      <c r="AA130" t="str">
        <f>IF(COUNTBLANK(Table1[[#This Row],[Part 4]])=0,_xlfn.CONCAT(Table1[[#This Row],[Part 3]]," - "),IF(COUNTBLANK(Table1[[#This Row],[Part 3]])=0,Table1[[#This Row],[Part 3]],""))</f>
        <v/>
      </c>
      <c r="AB130" t="str">
        <f>IF(COUNTBLANK(Table1[[#This Row],[Part 5]])=0,_xlfn.CONCAT(Table1[[#This Row],[Part 4]]," - "),IF(COUNTBLANK(Table1[[#This Row],[Part 4]])=0,Table1[[#This Row],[Part 4]],""))</f>
        <v/>
      </c>
      <c r="AC130" t="str">
        <f>IF(COUNTBLANK(Table1[[#This Row],[Part 6]])=0,_xlfn.CONCAT(Table1[[#This Row],[Part 5]]," - "),IF(COUNTBLANK(Table1[[#This Row],[Part 5]])=0,Table1[[#This Row],[Part 5]],""))</f>
        <v/>
      </c>
      <c r="AD130" t="str">
        <f>IF(COUNTBLANK(Table1[[#This Row],[Part 7]])=0,_xlfn.CONCAT(Table1[[#This Row],[Part 6]]," - "),IF(COUNTBLANK(Table1[[#This Row],[Part 6]])=0,Table1[[#This Row],[Part 6]],""))</f>
        <v/>
      </c>
      <c r="AE130" t="str">
        <f>IF(COUNTBLANK(Table1[[#This Row],[Part 7]])=0,Table1[[#This Row],[Part 7]],"")</f>
        <v/>
      </c>
    </row>
    <row r="131" spans="8:31" x14ac:dyDescent="0.35">
      <c r="H131" t="str">
        <f>_xlfn.CONCAT(Table1[[#This Row],[Eff pt 1]:[Eff pt 7]])</f>
        <v>Protection - Fuses</v>
      </c>
      <c r="I131" s="6" t="s">
        <v>38</v>
      </c>
      <c r="J131" t="s">
        <v>39</v>
      </c>
      <c r="P131" s="6" t="b">
        <v>1</v>
      </c>
      <c r="Q131" t="b">
        <v>1</v>
      </c>
      <c r="R131" t="b">
        <v>1</v>
      </c>
      <c r="S131" s="5" t="b">
        <v>1</v>
      </c>
      <c r="T131" t="b">
        <v>1</v>
      </c>
      <c r="U131" t="b">
        <v>1</v>
      </c>
      <c r="V131" t="b">
        <v>1</v>
      </c>
      <c r="W131">
        <v>-1</v>
      </c>
      <c r="X131" s="6">
        <f>(COUNTIF(Table1[[#This Row],[Spreadsheet]:[Functionality Verified?]],"=TRUE")/7) * 100</f>
        <v>100</v>
      </c>
      <c r="Y131" t="str">
        <f>IF(COUNTBLANK(Table1[[#This Row],[Part 2]])=0,_xlfn.CONCAT(Table1[[#This Row],[Part 1]]," - "),IF(COUNTBLANK(Table1[[#This Row],[Part 1]])=0,Table1[[#This Row],[Part 1]],""))</f>
        <v xml:space="preserve">Protection - </v>
      </c>
      <c r="Z131" t="str">
        <f>IF(COUNTBLANK(Table1[[#This Row],[Part 3]])=0,_xlfn.CONCAT(Table1[[#This Row],[Part 2]]," - "),IF(COUNTBLANK(Table1[[#This Row],[Part 2]])=0,Table1[[#This Row],[Part 2]],""))</f>
        <v>Fuses</v>
      </c>
      <c r="AA131" t="str">
        <f>IF(COUNTBLANK(Table1[[#This Row],[Part 4]])=0,_xlfn.CONCAT(Table1[[#This Row],[Part 3]]," - "),IF(COUNTBLANK(Table1[[#This Row],[Part 3]])=0,Table1[[#This Row],[Part 3]],""))</f>
        <v/>
      </c>
      <c r="AB131" t="str">
        <f>IF(COUNTBLANK(Table1[[#This Row],[Part 5]])=0,_xlfn.CONCAT(Table1[[#This Row],[Part 4]]," - "),IF(COUNTBLANK(Table1[[#This Row],[Part 4]])=0,Table1[[#This Row],[Part 4]],""))</f>
        <v/>
      </c>
      <c r="AC131" t="str">
        <f>IF(COUNTBLANK(Table1[[#This Row],[Part 6]])=0,_xlfn.CONCAT(Table1[[#This Row],[Part 5]]," - "),IF(COUNTBLANK(Table1[[#This Row],[Part 5]])=0,Table1[[#This Row],[Part 5]],""))</f>
        <v/>
      </c>
      <c r="AD131" t="str">
        <f>IF(COUNTBLANK(Table1[[#This Row],[Part 7]])=0,_xlfn.CONCAT(Table1[[#This Row],[Part 6]]," - "),IF(COUNTBLANK(Table1[[#This Row],[Part 6]])=0,Table1[[#This Row],[Part 6]],""))</f>
        <v/>
      </c>
      <c r="AE131" t="str">
        <f>IF(COUNTBLANK(Table1[[#This Row],[Part 7]])=0,Table1[[#This Row],[Part 7]],"")</f>
        <v/>
      </c>
    </row>
    <row r="132" spans="8:31" x14ac:dyDescent="0.35">
      <c r="H132" t="str">
        <f>_xlfn.CONCAT(Table1[[#This Row],[Eff pt 1]:[Eff pt 7]])</f>
        <v>Mechanical  - Screws</v>
      </c>
      <c r="I132" s="6" t="s">
        <v>133</v>
      </c>
      <c r="J132" t="s">
        <v>136</v>
      </c>
      <c r="P132" s="6" t="b">
        <v>1</v>
      </c>
      <c r="Q132" t="b">
        <v>1</v>
      </c>
      <c r="R132" t="b">
        <v>1</v>
      </c>
      <c r="S132" s="5" t="b">
        <v>1</v>
      </c>
      <c r="T132" t="b">
        <v>1</v>
      </c>
      <c r="U132" t="b">
        <v>1</v>
      </c>
      <c r="V132" t="b">
        <v>1</v>
      </c>
      <c r="W132">
        <v>-1</v>
      </c>
      <c r="X132" s="6">
        <f>(COUNTIF(Table1[[#This Row],[Spreadsheet]:[Functionality Verified?]],"=TRUE")/7) * 100</f>
        <v>100</v>
      </c>
      <c r="Y132" t="str">
        <f>IF(COUNTBLANK(Table1[[#This Row],[Part 2]])=0,_xlfn.CONCAT(Table1[[#This Row],[Part 1]]," - "),IF(COUNTBLANK(Table1[[#This Row],[Part 1]])=0,Table1[[#This Row],[Part 1]],""))</f>
        <v xml:space="preserve">Mechanical  - </v>
      </c>
      <c r="Z132" t="str">
        <f>IF(COUNTBLANK(Table1[[#This Row],[Part 3]])=0,_xlfn.CONCAT(Table1[[#This Row],[Part 2]]," - "),IF(COUNTBLANK(Table1[[#This Row],[Part 2]])=0,Table1[[#This Row],[Part 2]],""))</f>
        <v>Screws</v>
      </c>
      <c r="AA132" t="str">
        <f>IF(COUNTBLANK(Table1[[#This Row],[Part 4]])=0,_xlfn.CONCAT(Table1[[#This Row],[Part 3]]," - "),IF(COUNTBLANK(Table1[[#This Row],[Part 3]])=0,Table1[[#This Row],[Part 3]],""))</f>
        <v/>
      </c>
      <c r="AB132" t="str">
        <f>IF(COUNTBLANK(Table1[[#This Row],[Part 5]])=0,_xlfn.CONCAT(Table1[[#This Row],[Part 4]]," - "),IF(COUNTBLANK(Table1[[#This Row],[Part 4]])=0,Table1[[#This Row],[Part 4]],""))</f>
        <v/>
      </c>
      <c r="AC132" t="str">
        <f>IF(COUNTBLANK(Table1[[#This Row],[Part 6]])=0,_xlfn.CONCAT(Table1[[#This Row],[Part 5]]," - "),IF(COUNTBLANK(Table1[[#This Row],[Part 5]])=0,Table1[[#This Row],[Part 5]],""))</f>
        <v/>
      </c>
      <c r="AD132" t="str">
        <f>IF(COUNTBLANK(Table1[[#This Row],[Part 7]])=0,_xlfn.CONCAT(Table1[[#This Row],[Part 6]]," - "),IF(COUNTBLANK(Table1[[#This Row],[Part 6]])=0,Table1[[#This Row],[Part 6]],""))</f>
        <v/>
      </c>
      <c r="AE132" t="str">
        <f>IF(COUNTBLANK(Table1[[#This Row],[Part 7]])=0,Table1[[#This Row],[Part 7]],"")</f>
        <v/>
      </c>
    </row>
    <row r="133" spans="8:31" x14ac:dyDescent="0.35">
      <c r="H133" t="str">
        <f>_xlfn.CONCAT(Table1[[#This Row],[Eff pt 1]:[Eff pt 7]])</f>
        <v>Mechanical  - Feet</v>
      </c>
      <c r="I133" s="6" t="s">
        <v>133</v>
      </c>
      <c r="J133" t="s">
        <v>197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1</v>
      </c>
      <c r="U133" s="6" t="b">
        <v>1</v>
      </c>
      <c r="V133" s="6" t="b">
        <v>1</v>
      </c>
      <c r="W133">
        <v>-1</v>
      </c>
      <c r="X133" s="6">
        <f>(COUNTIF(Table1[[#This Row],[Spreadsheet]:[Functionality Verified?]],"=TRUE")/7) * 100</f>
        <v>100</v>
      </c>
      <c r="Y133" t="str">
        <f>IF(COUNTBLANK(Table1[[#This Row],[Part 2]])=0,_xlfn.CONCAT(Table1[[#This Row],[Part 1]]," - "),IF(COUNTBLANK(Table1[[#This Row],[Part 1]])=0,Table1[[#This Row],[Part 1]],""))</f>
        <v xml:space="preserve">Mechanical  - </v>
      </c>
      <c r="Z133" t="str">
        <f>IF(COUNTBLANK(Table1[[#This Row],[Part 3]])=0,_xlfn.CONCAT(Table1[[#This Row],[Part 2]]," - "),IF(COUNTBLANK(Table1[[#This Row],[Part 2]])=0,Table1[[#This Row],[Part 2]],""))</f>
        <v>Feet</v>
      </c>
      <c r="AA133" t="str">
        <f>IF(COUNTBLANK(Table1[[#This Row],[Part 4]])=0,_xlfn.CONCAT(Table1[[#This Row],[Part 3]]," - "),IF(COUNTBLANK(Table1[[#This Row],[Part 3]])=0,Table1[[#This Row],[Part 3]],""))</f>
        <v/>
      </c>
      <c r="AB133" t="str">
        <f>IF(COUNTBLANK(Table1[[#This Row],[Part 5]])=0,_xlfn.CONCAT(Table1[[#This Row],[Part 4]]," - "),IF(COUNTBLANK(Table1[[#This Row],[Part 4]])=0,Table1[[#This Row],[Part 4]],""))</f>
        <v/>
      </c>
      <c r="AC133" t="str">
        <f>IF(COUNTBLANK(Table1[[#This Row],[Part 6]])=0,_xlfn.CONCAT(Table1[[#This Row],[Part 5]]," - "),IF(COUNTBLANK(Table1[[#This Row],[Part 5]])=0,Table1[[#This Row],[Part 5]],""))</f>
        <v/>
      </c>
      <c r="AD133" t="str">
        <f>IF(COUNTBLANK(Table1[[#This Row],[Part 7]])=0,_xlfn.CONCAT(Table1[[#This Row],[Part 6]]," - "),IF(COUNTBLANK(Table1[[#This Row],[Part 6]])=0,Table1[[#This Row],[Part 6]],""))</f>
        <v/>
      </c>
      <c r="AE133" t="str">
        <f>IF(COUNTBLANK(Table1[[#This Row],[Part 7]])=0,Table1[[#This Row],[Part 7]],"")</f>
        <v/>
      </c>
    </row>
    <row r="134" spans="8:31" x14ac:dyDescent="0.35">
      <c r="H134" t="str">
        <f>_xlfn.CONCAT(Table1[[#This Row],[Eff pt 1]:[Eff pt 7]])</f>
        <v>LEDs - Standard - Indicator - Through Hole</v>
      </c>
      <c r="I134" s="6" t="s">
        <v>152</v>
      </c>
      <c r="J134" t="s">
        <v>63</v>
      </c>
      <c r="K134" t="s">
        <v>151</v>
      </c>
      <c r="L134" t="s">
        <v>52</v>
      </c>
      <c r="P134" s="6" t="b">
        <v>1</v>
      </c>
      <c r="Q134" s="6" t="b">
        <v>1</v>
      </c>
      <c r="R134" s="6" t="b">
        <v>1</v>
      </c>
      <c r="S134" s="6" t="b">
        <v>1</v>
      </c>
      <c r="T134" s="6" t="b">
        <v>1</v>
      </c>
      <c r="U134" s="6" t="b">
        <v>1</v>
      </c>
      <c r="V134" s="6" t="b">
        <v>1</v>
      </c>
      <c r="W134">
        <v>-1</v>
      </c>
      <c r="X134" s="6">
        <f>(COUNTIF(Table1[[#This Row],[Spreadsheet]:[Functionality Verified?]],"=TRUE")/7) * 100</f>
        <v>100</v>
      </c>
      <c r="Y134" t="str">
        <f>IF(COUNTBLANK(Table1[[#This Row],[Part 2]])=0,_xlfn.CONCAT(Table1[[#This Row],[Part 1]]," - "),IF(COUNTBLANK(Table1[[#This Row],[Part 1]])=0,Table1[[#This Row],[Part 1]],""))</f>
        <v xml:space="preserve">LEDs - </v>
      </c>
      <c r="Z134" t="str">
        <f>IF(COUNTBLANK(Table1[[#This Row],[Part 3]])=0,_xlfn.CONCAT(Table1[[#This Row],[Part 2]]," - "),IF(COUNTBLANK(Table1[[#This Row],[Part 2]])=0,Table1[[#This Row],[Part 2]],""))</f>
        <v xml:space="preserve">Standard - </v>
      </c>
      <c r="AA134" t="str">
        <f>IF(COUNTBLANK(Table1[[#This Row],[Part 4]])=0,_xlfn.CONCAT(Table1[[#This Row],[Part 3]]," - "),IF(COUNTBLANK(Table1[[#This Row],[Part 3]])=0,Table1[[#This Row],[Part 3]],""))</f>
        <v xml:space="preserve">Indicator - </v>
      </c>
      <c r="AB134" t="str">
        <f>IF(COUNTBLANK(Table1[[#This Row],[Part 5]])=0,_xlfn.CONCAT(Table1[[#This Row],[Part 4]]," - "),IF(COUNTBLANK(Table1[[#This Row],[Part 4]])=0,Table1[[#This Row],[Part 4]],""))</f>
        <v>Through Hole</v>
      </c>
      <c r="AC134" t="str">
        <f>IF(COUNTBLANK(Table1[[#This Row],[Part 6]])=0,_xlfn.CONCAT(Table1[[#This Row],[Part 5]]," - "),IF(COUNTBLANK(Table1[[#This Row],[Part 5]])=0,Table1[[#This Row],[Part 5]],""))</f>
        <v/>
      </c>
      <c r="AD134" t="str">
        <f>IF(COUNTBLANK(Table1[[#This Row],[Part 7]])=0,_xlfn.CONCAT(Table1[[#This Row],[Part 6]]," - "),IF(COUNTBLANK(Table1[[#This Row],[Part 6]])=0,Table1[[#This Row],[Part 6]],""))</f>
        <v/>
      </c>
      <c r="AE134" t="str">
        <f>IF(COUNTBLANK(Table1[[#This Row],[Part 7]])=0,Table1[[#This Row],[Part 7]],"")</f>
        <v/>
      </c>
    </row>
    <row r="135" spans="8:31" x14ac:dyDescent="0.35">
      <c r="H135" t="str">
        <f>_xlfn.CONCAT(Table1[[#This Row],[Eff pt 1]:[Eff pt 7]])</f>
        <v>LEDs - Standard - Indicator - SMD</v>
      </c>
      <c r="I135" s="6" t="s">
        <v>152</v>
      </c>
      <c r="J135" t="s">
        <v>63</v>
      </c>
      <c r="K135" t="s">
        <v>151</v>
      </c>
      <c r="L135" t="s">
        <v>44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1</v>
      </c>
      <c r="U135" s="6" t="b">
        <v>1</v>
      </c>
      <c r="V135" s="6" t="b">
        <v>1</v>
      </c>
      <c r="W135">
        <v>-1</v>
      </c>
      <c r="X135" s="6">
        <f>(COUNTIF(Table1[[#This Row],[Spreadsheet]:[Functionality Verified?]],"=TRUE")/7) * 100</f>
        <v>100</v>
      </c>
      <c r="Y135" t="str">
        <f>IF(COUNTBLANK(Table1[[#This Row],[Part 2]])=0,_xlfn.CONCAT(Table1[[#This Row],[Part 1]]," - "),IF(COUNTBLANK(Table1[[#This Row],[Part 1]])=0,Table1[[#This Row],[Part 1]],""))</f>
        <v xml:space="preserve">LEDs - </v>
      </c>
      <c r="Z135" t="str">
        <f>IF(COUNTBLANK(Table1[[#This Row],[Part 3]])=0,_xlfn.CONCAT(Table1[[#This Row],[Part 2]]," - "),IF(COUNTBLANK(Table1[[#This Row],[Part 2]])=0,Table1[[#This Row],[Part 2]],""))</f>
        <v xml:space="preserve">Standard - </v>
      </c>
      <c r="AA135" t="str">
        <f>IF(COUNTBLANK(Table1[[#This Row],[Part 4]])=0,_xlfn.CONCAT(Table1[[#This Row],[Part 3]]," - "),IF(COUNTBLANK(Table1[[#This Row],[Part 3]])=0,Table1[[#This Row],[Part 3]],""))</f>
        <v xml:space="preserve">Indicator - </v>
      </c>
      <c r="AB135" t="str">
        <f>IF(COUNTBLANK(Table1[[#This Row],[Part 5]])=0,_xlfn.CONCAT(Table1[[#This Row],[Part 4]]," - "),IF(COUNTBLANK(Table1[[#This Row],[Part 4]])=0,Table1[[#This Row],[Part 4]],""))</f>
        <v>SMD</v>
      </c>
      <c r="AC135" t="str">
        <f>IF(COUNTBLANK(Table1[[#This Row],[Part 6]])=0,_xlfn.CONCAT(Table1[[#This Row],[Part 5]]," - "),IF(COUNTBLANK(Table1[[#This Row],[Part 5]])=0,Table1[[#This Row],[Part 5]],""))</f>
        <v/>
      </c>
      <c r="AD135" t="str">
        <f>IF(COUNTBLANK(Table1[[#This Row],[Part 7]])=0,_xlfn.CONCAT(Table1[[#This Row],[Part 6]]," - "),IF(COUNTBLANK(Table1[[#This Row],[Part 6]])=0,Table1[[#This Row],[Part 6]],""))</f>
        <v/>
      </c>
      <c r="AE135" t="str">
        <f>IF(COUNTBLANK(Table1[[#This Row],[Part 7]])=0,Table1[[#This Row],[Part 7]],"")</f>
        <v/>
      </c>
    </row>
    <row r="136" spans="8:31" x14ac:dyDescent="0.35">
      <c r="H136" t="str">
        <f>_xlfn.CONCAT(Table1[[#This Row],[Eff pt 1]:[Eff pt 7]])</f>
        <v>Inductors - Ferrite Bead</v>
      </c>
      <c r="I136" s="6" t="s">
        <v>37</v>
      </c>
      <c r="J136" t="s">
        <v>202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1</v>
      </c>
      <c r="U136" s="6" t="b">
        <v>1</v>
      </c>
      <c r="V136" s="6" t="b">
        <v>1</v>
      </c>
      <c r="W136">
        <v>-1</v>
      </c>
      <c r="X136" s="6">
        <f>(COUNTIF(Table1[[#This Row],[Spreadsheet]:[Functionality Verified?]],"=TRUE")/7) * 100</f>
        <v>100</v>
      </c>
      <c r="Y136" t="str">
        <f>IF(COUNTBLANK(Table1[[#This Row],[Part 2]])=0,_xlfn.CONCAT(Table1[[#This Row],[Part 1]]," - "),IF(COUNTBLANK(Table1[[#This Row],[Part 1]])=0,Table1[[#This Row],[Part 1]],""))</f>
        <v xml:space="preserve">Inductors - </v>
      </c>
      <c r="Z136" t="str">
        <f>IF(COUNTBLANK(Table1[[#This Row],[Part 3]])=0,_xlfn.CONCAT(Table1[[#This Row],[Part 2]]," - "),IF(COUNTBLANK(Table1[[#This Row],[Part 2]])=0,Table1[[#This Row],[Part 2]],""))</f>
        <v>Ferrite Bead</v>
      </c>
      <c r="AA136" t="str">
        <f>IF(COUNTBLANK(Table1[[#This Row],[Part 4]])=0,_xlfn.CONCAT(Table1[[#This Row],[Part 3]]," - "),IF(COUNTBLANK(Table1[[#This Row],[Part 3]])=0,Table1[[#This Row],[Part 3]],""))</f>
        <v/>
      </c>
      <c r="AB136" t="str">
        <f>IF(COUNTBLANK(Table1[[#This Row],[Part 5]])=0,_xlfn.CONCAT(Table1[[#This Row],[Part 4]]," - "),IF(COUNTBLANK(Table1[[#This Row],[Part 4]])=0,Table1[[#This Row],[Part 4]],""))</f>
        <v/>
      </c>
      <c r="AC136" t="str">
        <f>IF(COUNTBLANK(Table1[[#This Row],[Part 6]])=0,_xlfn.CONCAT(Table1[[#This Row],[Part 5]]," - "),IF(COUNTBLANK(Table1[[#This Row],[Part 5]])=0,Table1[[#This Row],[Part 5]],""))</f>
        <v/>
      </c>
      <c r="AD136" t="str">
        <f>IF(COUNTBLANK(Table1[[#This Row],[Part 7]])=0,_xlfn.CONCAT(Table1[[#This Row],[Part 6]]," - "),IF(COUNTBLANK(Table1[[#This Row],[Part 6]])=0,Table1[[#This Row],[Part 6]],""))</f>
        <v/>
      </c>
      <c r="AE136" t="str">
        <f>IF(COUNTBLANK(Table1[[#This Row],[Part 7]])=0,Table1[[#This Row],[Part 7]],"")</f>
        <v/>
      </c>
    </row>
    <row r="137" spans="8:31" x14ac:dyDescent="0.35">
      <c r="H137" t="str">
        <f>_xlfn.CONCAT(Table1[[#This Row],[Eff pt 1]:[Eff pt 7]])</f>
        <v>Inductors</v>
      </c>
      <c r="I137" s="6" t="s">
        <v>37</v>
      </c>
      <c r="P137" s="6" t="b">
        <v>1</v>
      </c>
      <c r="Q137" s="6" t="b">
        <v>1</v>
      </c>
      <c r="R137" s="6" t="b">
        <v>1</v>
      </c>
      <c r="S137" s="6" t="b">
        <v>1</v>
      </c>
      <c r="T137" s="6" t="b">
        <v>1</v>
      </c>
      <c r="U137" s="6" t="b">
        <v>1</v>
      </c>
      <c r="V137" s="6" t="b">
        <v>1</v>
      </c>
      <c r="W137">
        <v>-1</v>
      </c>
      <c r="X137" s="6">
        <f>(COUNTIF(Table1[[#This Row],[Spreadsheet]:[Functionality Verified?]],"=TRUE")/7) * 100</f>
        <v>100</v>
      </c>
      <c r="Y137" t="str">
        <f>IF(COUNTBLANK(Table1[[#This Row],[Part 2]])=0,_xlfn.CONCAT(Table1[[#This Row],[Part 1]]," - "),IF(COUNTBLANK(Table1[[#This Row],[Part 1]])=0,Table1[[#This Row],[Part 1]],""))</f>
        <v>Inductors</v>
      </c>
      <c r="Z137" t="str">
        <f>IF(COUNTBLANK(Table1[[#This Row],[Part 3]])=0,_xlfn.CONCAT(Table1[[#This Row],[Part 2]]," - "),IF(COUNTBLANK(Table1[[#This Row],[Part 2]])=0,Table1[[#This Row],[Part 2]],""))</f>
        <v/>
      </c>
      <c r="AA137" t="str">
        <f>IF(COUNTBLANK(Table1[[#This Row],[Part 4]])=0,_xlfn.CONCAT(Table1[[#This Row],[Part 3]]," - "),IF(COUNTBLANK(Table1[[#This Row],[Part 3]])=0,Table1[[#This Row],[Part 3]],""))</f>
        <v/>
      </c>
      <c r="AB137" t="str">
        <f>IF(COUNTBLANK(Table1[[#This Row],[Part 5]])=0,_xlfn.CONCAT(Table1[[#This Row],[Part 4]]," - "),IF(COUNTBLANK(Table1[[#This Row],[Part 4]])=0,Table1[[#This Row],[Part 4]],""))</f>
        <v/>
      </c>
      <c r="AC137" t="str">
        <f>IF(COUNTBLANK(Table1[[#This Row],[Part 6]])=0,_xlfn.CONCAT(Table1[[#This Row],[Part 5]]," - "),IF(COUNTBLANK(Table1[[#This Row],[Part 5]])=0,Table1[[#This Row],[Part 5]],""))</f>
        <v/>
      </c>
      <c r="AD137" t="str">
        <f>IF(COUNTBLANK(Table1[[#This Row],[Part 7]])=0,_xlfn.CONCAT(Table1[[#This Row],[Part 6]]," - "),IF(COUNTBLANK(Table1[[#This Row],[Part 6]])=0,Table1[[#This Row],[Part 6]],""))</f>
        <v/>
      </c>
      <c r="AE137" t="str">
        <f>IF(COUNTBLANK(Table1[[#This Row],[Part 7]])=0,Table1[[#This Row],[Part 7]],"")</f>
        <v/>
      </c>
    </row>
    <row r="138" spans="8:31" x14ac:dyDescent="0.35">
      <c r="H138" t="str">
        <f>_xlfn.CONCAT(Table1[[#This Row],[Eff pt 1]:[Eff pt 7]])</f>
        <v>ICs - Power - Linear Regulation</v>
      </c>
      <c r="I138" s="6" t="s">
        <v>100</v>
      </c>
      <c r="J138" t="s">
        <v>88</v>
      </c>
      <c r="K138" t="s">
        <v>103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1</v>
      </c>
      <c r="U138" s="6" t="b">
        <v>1</v>
      </c>
      <c r="V138" s="6" t="b">
        <v>1</v>
      </c>
      <c r="W138">
        <v>-1</v>
      </c>
      <c r="X138" s="6">
        <f>(COUNTIF(Table1[[#This Row],[Spreadsheet]:[Functionality Verified?]],"=TRUE")/7) * 100</f>
        <v>100</v>
      </c>
      <c r="Y138" t="str">
        <f>IF(COUNTBLANK(Table1[[#This Row],[Part 2]])=0,_xlfn.CONCAT(Table1[[#This Row],[Part 1]]," - "),IF(COUNTBLANK(Table1[[#This Row],[Part 1]])=0,Table1[[#This Row],[Part 1]],""))</f>
        <v xml:space="preserve">ICs - </v>
      </c>
      <c r="Z138" t="str">
        <f>IF(COUNTBLANK(Table1[[#This Row],[Part 3]])=0,_xlfn.CONCAT(Table1[[#This Row],[Part 2]]," - "),IF(COUNTBLANK(Table1[[#This Row],[Part 2]])=0,Table1[[#This Row],[Part 2]],""))</f>
        <v xml:space="preserve">Power - </v>
      </c>
      <c r="AA138" t="str">
        <f>IF(COUNTBLANK(Table1[[#This Row],[Part 4]])=0,_xlfn.CONCAT(Table1[[#This Row],[Part 3]]," - "),IF(COUNTBLANK(Table1[[#This Row],[Part 3]])=0,Table1[[#This Row],[Part 3]],""))</f>
        <v>Linear Regulation</v>
      </c>
      <c r="AB138" t="str">
        <f>IF(COUNTBLANK(Table1[[#This Row],[Part 5]])=0,_xlfn.CONCAT(Table1[[#This Row],[Part 4]]," - "),IF(COUNTBLANK(Table1[[#This Row],[Part 4]])=0,Table1[[#This Row],[Part 4]],""))</f>
        <v/>
      </c>
      <c r="AC138" t="str">
        <f>IF(COUNTBLANK(Table1[[#This Row],[Part 6]])=0,_xlfn.CONCAT(Table1[[#This Row],[Part 5]]," - "),IF(COUNTBLANK(Table1[[#This Row],[Part 5]])=0,Table1[[#This Row],[Part 5]],""))</f>
        <v/>
      </c>
      <c r="AD138" t="str">
        <f>IF(COUNTBLANK(Table1[[#This Row],[Part 7]])=0,_xlfn.CONCAT(Table1[[#This Row],[Part 6]]," - "),IF(COUNTBLANK(Table1[[#This Row],[Part 6]])=0,Table1[[#This Row],[Part 6]],""))</f>
        <v/>
      </c>
      <c r="AE138" t="str">
        <f>IF(COUNTBLANK(Table1[[#This Row],[Part 7]])=0,Table1[[#This Row],[Part 7]],"")</f>
        <v/>
      </c>
    </row>
    <row r="139" spans="8:31" x14ac:dyDescent="0.35">
      <c r="H139" t="str">
        <f>_xlfn.CONCAT(Table1[[#This Row],[Eff pt 1]:[Eff pt 7]])</f>
        <v>ICs - Power - Ideal Diodes</v>
      </c>
      <c r="I139" s="6" t="s">
        <v>100</v>
      </c>
      <c r="J139" t="s">
        <v>88</v>
      </c>
      <c r="K139" t="s">
        <v>105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1</v>
      </c>
      <c r="U139" s="6" t="b">
        <v>1</v>
      </c>
      <c r="V139" s="6" t="b">
        <v>1</v>
      </c>
      <c r="W139">
        <v>-1</v>
      </c>
      <c r="X139" s="6">
        <f>(COUNTIF(Table1[[#This Row],[Spreadsheet]:[Functionality Verified?]],"=TRUE")/7) * 100</f>
        <v>100</v>
      </c>
      <c r="Y139" t="str">
        <f>IF(COUNTBLANK(Table1[[#This Row],[Part 2]])=0,_xlfn.CONCAT(Table1[[#This Row],[Part 1]]," - "),IF(COUNTBLANK(Table1[[#This Row],[Part 1]])=0,Table1[[#This Row],[Part 1]],""))</f>
        <v xml:space="preserve">ICs - </v>
      </c>
      <c r="Z139" t="str">
        <f>IF(COUNTBLANK(Table1[[#This Row],[Part 3]])=0,_xlfn.CONCAT(Table1[[#This Row],[Part 2]]," - "),IF(COUNTBLANK(Table1[[#This Row],[Part 2]])=0,Table1[[#This Row],[Part 2]],""))</f>
        <v xml:space="preserve">Power - </v>
      </c>
      <c r="AA139" t="str">
        <f>IF(COUNTBLANK(Table1[[#This Row],[Part 4]])=0,_xlfn.CONCAT(Table1[[#This Row],[Part 3]]," - "),IF(COUNTBLANK(Table1[[#This Row],[Part 3]])=0,Table1[[#This Row],[Part 3]],""))</f>
        <v>Ideal Diodes</v>
      </c>
      <c r="AB139" t="str">
        <f>IF(COUNTBLANK(Table1[[#This Row],[Part 5]])=0,_xlfn.CONCAT(Table1[[#This Row],[Part 4]]," - "),IF(COUNTBLANK(Table1[[#This Row],[Part 4]])=0,Table1[[#This Row],[Part 4]],""))</f>
        <v/>
      </c>
      <c r="AC139" t="str">
        <f>IF(COUNTBLANK(Table1[[#This Row],[Part 6]])=0,_xlfn.CONCAT(Table1[[#This Row],[Part 5]]," - "),IF(COUNTBLANK(Table1[[#This Row],[Part 5]])=0,Table1[[#This Row],[Part 5]],""))</f>
        <v/>
      </c>
      <c r="AD139" t="str">
        <f>IF(COUNTBLANK(Table1[[#This Row],[Part 7]])=0,_xlfn.CONCAT(Table1[[#This Row],[Part 6]]," - "),IF(COUNTBLANK(Table1[[#This Row],[Part 6]])=0,Table1[[#This Row],[Part 6]],""))</f>
        <v/>
      </c>
      <c r="AE139" t="str">
        <f>IF(COUNTBLANK(Table1[[#This Row],[Part 7]])=0,Table1[[#This Row],[Part 7]],"")</f>
        <v/>
      </c>
    </row>
    <row r="140" spans="8:31" x14ac:dyDescent="0.35">
      <c r="H140" t="str">
        <f>_xlfn.CONCAT(Table1[[#This Row],[Eff pt 1]:[Eff pt 7]])</f>
        <v>ICs - Embedded - MCU - Module</v>
      </c>
      <c r="I140" s="6" t="s">
        <v>100</v>
      </c>
      <c r="J140" t="s">
        <v>106</v>
      </c>
      <c r="K140" t="s">
        <v>107</v>
      </c>
      <c r="L140" t="s">
        <v>188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1</v>
      </c>
      <c r="U140" s="6" t="b">
        <v>1</v>
      </c>
      <c r="V140" s="6" t="b">
        <v>1</v>
      </c>
      <c r="W140">
        <v>-1</v>
      </c>
      <c r="X140" s="6">
        <f>(COUNTIF(Table1[[#This Row],[Spreadsheet]:[Functionality Verified?]],"=TRUE")/7) * 100</f>
        <v>100</v>
      </c>
      <c r="Y140" t="str">
        <f>IF(COUNTBLANK(Table1[[#This Row],[Part 2]])=0,_xlfn.CONCAT(Table1[[#This Row],[Part 1]]," - "),IF(COUNTBLANK(Table1[[#This Row],[Part 1]])=0,Table1[[#This Row],[Part 1]],""))</f>
        <v xml:space="preserve">ICs - </v>
      </c>
      <c r="Z140" t="str">
        <f>IF(COUNTBLANK(Table1[[#This Row],[Part 3]])=0,_xlfn.CONCAT(Table1[[#This Row],[Part 2]]," - "),IF(COUNTBLANK(Table1[[#This Row],[Part 2]])=0,Table1[[#This Row],[Part 2]],""))</f>
        <v xml:space="preserve">Embedded - </v>
      </c>
      <c r="AA140" t="str">
        <f>IF(COUNTBLANK(Table1[[#This Row],[Part 4]])=0,_xlfn.CONCAT(Table1[[#This Row],[Part 3]]," - "),IF(COUNTBLANK(Table1[[#This Row],[Part 3]])=0,Table1[[#This Row],[Part 3]],""))</f>
        <v xml:space="preserve">MCU - </v>
      </c>
      <c r="AB140" t="str">
        <f>IF(COUNTBLANK(Table1[[#This Row],[Part 5]])=0,_xlfn.CONCAT(Table1[[#This Row],[Part 4]]," - "),IF(COUNTBLANK(Table1[[#This Row],[Part 4]])=0,Table1[[#This Row],[Part 4]],""))</f>
        <v>Module</v>
      </c>
      <c r="AC140" t="str">
        <f>IF(COUNTBLANK(Table1[[#This Row],[Part 6]])=0,_xlfn.CONCAT(Table1[[#This Row],[Part 5]]," - "),IF(COUNTBLANK(Table1[[#This Row],[Part 5]])=0,Table1[[#This Row],[Part 5]],""))</f>
        <v/>
      </c>
      <c r="AD140" t="str">
        <f>IF(COUNTBLANK(Table1[[#This Row],[Part 7]])=0,_xlfn.CONCAT(Table1[[#This Row],[Part 6]]," - "),IF(COUNTBLANK(Table1[[#This Row],[Part 6]])=0,Table1[[#This Row],[Part 6]],""))</f>
        <v/>
      </c>
      <c r="AE140" t="str">
        <f>IF(COUNTBLANK(Table1[[#This Row],[Part 7]])=0,Table1[[#This Row],[Part 7]],"")</f>
        <v/>
      </c>
    </row>
    <row r="141" spans="8:31" x14ac:dyDescent="0.35">
      <c r="H141" t="str">
        <f>_xlfn.CONCAT(Table1[[#This Row],[Eff pt 1]:[Eff pt 7]])</f>
        <v>ICs - Embedded - MCU</v>
      </c>
      <c r="I141" s="6" t="s">
        <v>100</v>
      </c>
      <c r="J141" t="s">
        <v>106</v>
      </c>
      <c r="K141" t="s">
        <v>107</v>
      </c>
      <c r="P141" s="6" t="b">
        <v>1</v>
      </c>
      <c r="Q141" s="6" t="b">
        <v>1</v>
      </c>
      <c r="R141" s="6" t="b">
        <v>1</v>
      </c>
      <c r="S141" s="6" t="b">
        <v>1</v>
      </c>
      <c r="T141" s="6" t="b">
        <v>1</v>
      </c>
      <c r="U141" s="6" t="b">
        <v>1</v>
      </c>
      <c r="V141" s="6" t="b">
        <v>1</v>
      </c>
      <c r="W141">
        <v>-1</v>
      </c>
      <c r="X141" s="6">
        <f>(COUNTIF(Table1[[#This Row],[Spreadsheet]:[Functionality Verified?]],"=TRUE")/7) * 100</f>
        <v>100</v>
      </c>
      <c r="Y141" t="str">
        <f>IF(COUNTBLANK(Table1[[#This Row],[Part 2]])=0,_xlfn.CONCAT(Table1[[#This Row],[Part 1]]," - "),IF(COUNTBLANK(Table1[[#This Row],[Part 1]])=0,Table1[[#This Row],[Part 1]],""))</f>
        <v xml:space="preserve">ICs - </v>
      </c>
      <c r="Z141" t="str">
        <f>IF(COUNTBLANK(Table1[[#This Row],[Part 3]])=0,_xlfn.CONCAT(Table1[[#This Row],[Part 2]]," - "),IF(COUNTBLANK(Table1[[#This Row],[Part 2]])=0,Table1[[#This Row],[Part 2]],""))</f>
        <v xml:space="preserve">Embedded - </v>
      </c>
      <c r="AA141" t="str">
        <f>IF(COUNTBLANK(Table1[[#This Row],[Part 4]])=0,_xlfn.CONCAT(Table1[[#This Row],[Part 3]]," - "),IF(COUNTBLANK(Table1[[#This Row],[Part 3]])=0,Table1[[#This Row],[Part 3]],""))</f>
        <v>MCU</v>
      </c>
      <c r="AB141" t="str">
        <f>IF(COUNTBLANK(Table1[[#This Row],[Part 5]])=0,_xlfn.CONCAT(Table1[[#This Row],[Part 4]]," - "),IF(COUNTBLANK(Table1[[#This Row],[Part 4]])=0,Table1[[#This Row],[Part 4]],""))</f>
        <v/>
      </c>
      <c r="AC141" t="str">
        <f>IF(COUNTBLANK(Table1[[#This Row],[Part 6]])=0,_xlfn.CONCAT(Table1[[#This Row],[Part 5]]," - "),IF(COUNTBLANK(Table1[[#This Row],[Part 5]])=0,Table1[[#This Row],[Part 5]],""))</f>
        <v/>
      </c>
      <c r="AD141" t="str">
        <f>IF(COUNTBLANK(Table1[[#This Row],[Part 7]])=0,_xlfn.CONCAT(Table1[[#This Row],[Part 6]]," - "),IF(COUNTBLANK(Table1[[#This Row],[Part 6]])=0,Table1[[#This Row],[Part 6]],""))</f>
        <v/>
      </c>
      <c r="AE141" t="str">
        <f>IF(COUNTBLANK(Table1[[#This Row],[Part 7]])=0,Table1[[#This Row],[Part 7]],"")</f>
        <v/>
      </c>
    </row>
    <row r="142" spans="8:31" x14ac:dyDescent="0.35">
      <c r="H142" t="str">
        <f>_xlfn.CONCAT(Table1[[#This Row],[Eff pt 1]:[Eff pt 7]])</f>
        <v>ICs - Analog - OP Amp</v>
      </c>
      <c r="I142" s="6" t="s">
        <v>100</v>
      </c>
      <c r="J142" t="s">
        <v>99</v>
      </c>
      <c r="K142" t="s">
        <v>117</v>
      </c>
      <c r="P142" s="6" t="b">
        <v>1</v>
      </c>
      <c r="Q142" s="6" t="b">
        <v>1</v>
      </c>
      <c r="R142" s="6" t="b">
        <v>1</v>
      </c>
      <c r="S142" s="6" t="b">
        <v>1</v>
      </c>
      <c r="T142" s="6" t="b">
        <v>1</v>
      </c>
      <c r="U142" s="6" t="b">
        <v>1</v>
      </c>
      <c r="V142" s="6" t="b">
        <v>1</v>
      </c>
      <c r="W142">
        <v>-1</v>
      </c>
      <c r="X142" s="6">
        <f>(COUNTIF(Table1[[#This Row],[Spreadsheet]:[Functionality Verified?]],"=TRUE")/7) * 100</f>
        <v>100</v>
      </c>
      <c r="Y142" t="str">
        <f>IF(COUNTBLANK(Table1[[#This Row],[Part 2]])=0,_xlfn.CONCAT(Table1[[#This Row],[Part 1]]," - "),IF(COUNTBLANK(Table1[[#This Row],[Part 1]])=0,Table1[[#This Row],[Part 1]],""))</f>
        <v xml:space="preserve">ICs - </v>
      </c>
      <c r="Z142" t="str">
        <f>IF(COUNTBLANK(Table1[[#This Row],[Part 3]])=0,_xlfn.CONCAT(Table1[[#This Row],[Part 2]]," - "),IF(COUNTBLANK(Table1[[#This Row],[Part 2]])=0,Table1[[#This Row],[Part 2]],""))</f>
        <v xml:space="preserve">Analog - </v>
      </c>
      <c r="AA142" t="str">
        <f>IF(COUNTBLANK(Table1[[#This Row],[Part 4]])=0,_xlfn.CONCAT(Table1[[#This Row],[Part 3]]," - "),IF(COUNTBLANK(Table1[[#This Row],[Part 3]])=0,Table1[[#This Row],[Part 3]],""))</f>
        <v>OP Amp</v>
      </c>
      <c r="AB142" t="str">
        <f>IF(COUNTBLANK(Table1[[#This Row],[Part 5]])=0,_xlfn.CONCAT(Table1[[#This Row],[Part 4]]," - "),IF(COUNTBLANK(Table1[[#This Row],[Part 4]])=0,Table1[[#This Row],[Part 4]],""))</f>
        <v/>
      </c>
      <c r="AC142" t="str">
        <f>IF(COUNTBLANK(Table1[[#This Row],[Part 6]])=0,_xlfn.CONCAT(Table1[[#This Row],[Part 5]]," - "),IF(COUNTBLANK(Table1[[#This Row],[Part 5]])=0,Table1[[#This Row],[Part 5]],""))</f>
        <v/>
      </c>
      <c r="AD142" t="str">
        <f>IF(COUNTBLANK(Table1[[#This Row],[Part 7]])=0,_xlfn.CONCAT(Table1[[#This Row],[Part 6]]," - "),IF(COUNTBLANK(Table1[[#This Row],[Part 6]])=0,Table1[[#This Row],[Part 6]],""))</f>
        <v/>
      </c>
      <c r="AE142" t="str">
        <f>IF(COUNTBLANK(Table1[[#This Row],[Part 7]])=0,Table1[[#This Row],[Part 7]],"")</f>
        <v/>
      </c>
    </row>
    <row r="143" spans="8:31" x14ac:dyDescent="0.35">
      <c r="H143" t="str">
        <f>_xlfn.CONCAT(Table1[[#This Row],[Eff pt 1]:[Eff pt 7]])</f>
        <v>Discreet - Transistors - BJT - NPN</v>
      </c>
      <c r="I143" s="6" t="s">
        <v>89</v>
      </c>
      <c r="J143" t="s">
        <v>194</v>
      </c>
      <c r="K143" t="s">
        <v>92</v>
      </c>
      <c r="L143" t="s">
        <v>200</v>
      </c>
      <c r="P143" s="6" t="b">
        <v>1</v>
      </c>
      <c r="Q143" s="6" t="b">
        <v>1</v>
      </c>
      <c r="R143" s="6" t="b">
        <v>1</v>
      </c>
      <c r="S143" s="6" t="b">
        <v>1</v>
      </c>
      <c r="T143" s="6" t="b">
        <v>1</v>
      </c>
      <c r="U143" s="6" t="b">
        <v>1</v>
      </c>
      <c r="V143" s="6" t="b">
        <v>1</v>
      </c>
      <c r="W143">
        <v>-1</v>
      </c>
      <c r="X143" s="6">
        <f>(COUNTIF(Table1[[#This Row],[Spreadsheet]:[Functionality Verified?]],"=TRUE")/7) * 100</f>
        <v>100</v>
      </c>
      <c r="Y143" t="str">
        <f>IF(COUNTBLANK(Table1[[#This Row],[Part 2]])=0,_xlfn.CONCAT(Table1[[#This Row],[Part 1]]," - "),IF(COUNTBLANK(Table1[[#This Row],[Part 1]])=0,Table1[[#This Row],[Part 1]],""))</f>
        <v xml:space="preserve">Discreet - </v>
      </c>
      <c r="Z143" t="str">
        <f>IF(COUNTBLANK(Table1[[#This Row],[Part 3]])=0,_xlfn.CONCAT(Table1[[#This Row],[Part 2]]," - "),IF(COUNTBLANK(Table1[[#This Row],[Part 2]])=0,Table1[[#This Row],[Part 2]],""))</f>
        <v xml:space="preserve">Transistors - </v>
      </c>
      <c r="AA143" t="str">
        <f>IF(COUNTBLANK(Table1[[#This Row],[Part 4]])=0,_xlfn.CONCAT(Table1[[#This Row],[Part 3]]," - "),IF(COUNTBLANK(Table1[[#This Row],[Part 3]])=0,Table1[[#This Row],[Part 3]],""))</f>
        <v xml:space="preserve">BJT - </v>
      </c>
      <c r="AB143" t="str">
        <f>IF(COUNTBLANK(Table1[[#This Row],[Part 5]])=0,_xlfn.CONCAT(Table1[[#This Row],[Part 4]]," - "),IF(COUNTBLANK(Table1[[#This Row],[Part 4]])=0,Table1[[#This Row],[Part 4]],""))</f>
        <v>NPN</v>
      </c>
      <c r="AC143" t="str">
        <f>IF(COUNTBLANK(Table1[[#This Row],[Part 6]])=0,_xlfn.CONCAT(Table1[[#This Row],[Part 5]]," - "),IF(COUNTBLANK(Table1[[#This Row],[Part 5]])=0,Table1[[#This Row],[Part 5]],""))</f>
        <v/>
      </c>
      <c r="AD143" t="str">
        <f>IF(COUNTBLANK(Table1[[#This Row],[Part 7]])=0,_xlfn.CONCAT(Table1[[#This Row],[Part 6]]," - "),IF(COUNTBLANK(Table1[[#This Row],[Part 6]])=0,Table1[[#This Row],[Part 6]],""))</f>
        <v/>
      </c>
      <c r="AE143" t="str">
        <f>IF(COUNTBLANK(Table1[[#This Row],[Part 7]])=0,Table1[[#This Row],[Part 7]],"")</f>
        <v/>
      </c>
    </row>
    <row r="144" spans="8:31" x14ac:dyDescent="0.35">
      <c r="H144" t="str">
        <f>_xlfn.CONCAT(Table1[[#This Row],[Eff pt 1]:[Eff pt 7]])</f>
        <v>Discreet - Diodes - Schottky</v>
      </c>
      <c r="I144" s="6" t="s">
        <v>89</v>
      </c>
      <c r="J144" t="s">
        <v>90</v>
      </c>
      <c r="K144" t="s">
        <v>91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1</v>
      </c>
      <c r="U144" s="6" t="b">
        <v>1</v>
      </c>
      <c r="V144" s="6" t="b">
        <v>1</v>
      </c>
      <c r="W144">
        <v>-1</v>
      </c>
      <c r="X144" s="6">
        <f>(COUNTIF(Table1[[#This Row],[Spreadsheet]:[Functionality Verified?]],"=TRUE")/7) * 100</f>
        <v>100</v>
      </c>
      <c r="Y144" t="str">
        <f>IF(COUNTBLANK(Table1[[#This Row],[Part 2]])=0,_xlfn.CONCAT(Table1[[#This Row],[Part 1]]," - "),IF(COUNTBLANK(Table1[[#This Row],[Part 1]])=0,Table1[[#This Row],[Part 1]],""))</f>
        <v xml:space="preserve">Discreet - </v>
      </c>
      <c r="Z144" t="str">
        <f>IF(COUNTBLANK(Table1[[#This Row],[Part 3]])=0,_xlfn.CONCAT(Table1[[#This Row],[Part 2]]," - "),IF(COUNTBLANK(Table1[[#This Row],[Part 2]])=0,Table1[[#This Row],[Part 2]],""))</f>
        <v xml:space="preserve">Diodes - </v>
      </c>
      <c r="AA144" t="str">
        <f>IF(COUNTBLANK(Table1[[#This Row],[Part 4]])=0,_xlfn.CONCAT(Table1[[#This Row],[Part 3]]," - "),IF(COUNTBLANK(Table1[[#This Row],[Part 3]])=0,Table1[[#This Row],[Part 3]],""))</f>
        <v>Schottky</v>
      </c>
      <c r="AB144" t="str">
        <f>IF(COUNTBLANK(Table1[[#This Row],[Part 5]])=0,_xlfn.CONCAT(Table1[[#This Row],[Part 4]]," - "),IF(COUNTBLANK(Table1[[#This Row],[Part 4]])=0,Table1[[#This Row],[Part 4]],""))</f>
        <v/>
      </c>
      <c r="AC144" t="str">
        <f>IF(COUNTBLANK(Table1[[#This Row],[Part 6]])=0,_xlfn.CONCAT(Table1[[#This Row],[Part 5]]," - "),IF(COUNTBLANK(Table1[[#This Row],[Part 5]])=0,Table1[[#This Row],[Part 5]],""))</f>
        <v/>
      </c>
      <c r="AD144" t="str">
        <f>IF(COUNTBLANK(Table1[[#This Row],[Part 7]])=0,_xlfn.CONCAT(Table1[[#This Row],[Part 6]]," - "),IF(COUNTBLANK(Table1[[#This Row],[Part 6]])=0,Table1[[#This Row],[Part 6]],""))</f>
        <v/>
      </c>
      <c r="AE144" t="str">
        <f>IF(COUNTBLANK(Table1[[#This Row],[Part 7]])=0,Table1[[#This Row],[Part 7]],"")</f>
        <v/>
      </c>
    </row>
    <row r="145" spans="8:31" x14ac:dyDescent="0.35">
      <c r="H145" t="str">
        <f>_xlfn.CONCAT(Table1[[#This Row],[Eff pt 1]:[Eff pt 7]])</f>
        <v>Connectors - USB</v>
      </c>
      <c r="I145" s="6" t="s">
        <v>34</v>
      </c>
      <c r="J145" t="s">
        <v>54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1</v>
      </c>
      <c r="U145" s="6" t="b">
        <v>1</v>
      </c>
      <c r="V145" s="6" t="b">
        <v>1</v>
      </c>
      <c r="W145">
        <v>-1</v>
      </c>
      <c r="X145" s="6">
        <f>(COUNTIF(Table1[[#This Row],[Spreadsheet]:[Functionality Verified?]],"=TRUE")/7) * 100</f>
        <v>100</v>
      </c>
      <c r="Y145" t="str">
        <f>IF(COUNTBLANK(Table1[[#This Row],[Part 2]])=0,_xlfn.CONCAT(Table1[[#This Row],[Part 1]]," - "),IF(COUNTBLANK(Table1[[#This Row],[Part 1]])=0,Table1[[#This Row],[Part 1]],""))</f>
        <v xml:space="preserve">Connectors - </v>
      </c>
      <c r="Z145" t="str">
        <f>IF(COUNTBLANK(Table1[[#This Row],[Part 3]])=0,_xlfn.CONCAT(Table1[[#This Row],[Part 2]]," - "),IF(COUNTBLANK(Table1[[#This Row],[Part 2]])=0,Table1[[#This Row],[Part 2]],""))</f>
        <v>USB</v>
      </c>
      <c r="AA145" t="str">
        <f>IF(COUNTBLANK(Table1[[#This Row],[Part 4]])=0,_xlfn.CONCAT(Table1[[#This Row],[Part 3]]," - "),IF(COUNTBLANK(Table1[[#This Row],[Part 3]])=0,Table1[[#This Row],[Part 3]],""))</f>
        <v/>
      </c>
      <c r="AB145" t="str">
        <f>IF(COUNTBLANK(Table1[[#This Row],[Part 5]])=0,_xlfn.CONCAT(Table1[[#This Row],[Part 4]]," - "),IF(COUNTBLANK(Table1[[#This Row],[Part 4]])=0,Table1[[#This Row],[Part 4]],""))</f>
        <v/>
      </c>
      <c r="AC145" t="str">
        <f>IF(COUNTBLANK(Table1[[#This Row],[Part 6]])=0,_xlfn.CONCAT(Table1[[#This Row],[Part 5]]," - "),IF(COUNTBLANK(Table1[[#This Row],[Part 5]])=0,Table1[[#This Row],[Part 5]],""))</f>
        <v/>
      </c>
      <c r="AD145" t="str">
        <f>IF(COUNTBLANK(Table1[[#This Row],[Part 7]])=0,_xlfn.CONCAT(Table1[[#This Row],[Part 6]]," - "),IF(COUNTBLANK(Table1[[#This Row],[Part 6]])=0,Table1[[#This Row],[Part 6]],""))</f>
        <v/>
      </c>
      <c r="AE145" t="str">
        <f>IF(COUNTBLANK(Table1[[#This Row],[Part 7]])=0,Table1[[#This Row],[Part 7]],"")</f>
        <v/>
      </c>
    </row>
    <row r="146" spans="8:31" x14ac:dyDescent="0.35">
      <c r="H146" t="str">
        <f>_xlfn.CONCAT(Table1[[#This Row],[Eff pt 1]:[Eff pt 7]])</f>
        <v>Connectors - RJ</v>
      </c>
      <c r="I146" s="6" t="s">
        <v>34</v>
      </c>
      <c r="J146" t="s">
        <v>36</v>
      </c>
      <c r="P146" s="6" t="b">
        <v>1</v>
      </c>
      <c r="Q146" s="6" t="b">
        <v>1</v>
      </c>
      <c r="R146" s="6" t="b">
        <v>1</v>
      </c>
      <c r="S146" s="6" t="b">
        <v>1</v>
      </c>
      <c r="T146" s="6" t="b">
        <v>1</v>
      </c>
      <c r="U146" s="6" t="b">
        <v>1</v>
      </c>
      <c r="V146" s="6" t="b">
        <v>1</v>
      </c>
      <c r="W146">
        <v>-1</v>
      </c>
      <c r="X146" s="6">
        <f>(COUNTIF(Table1[[#This Row],[Spreadsheet]:[Functionality Verified?]],"=TRUE")/7) * 100</f>
        <v>100</v>
      </c>
      <c r="Y146" t="str">
        <f>IF(COUNTBLANK(Table1[[#This Row],[Part 2]])=0,_xlfn.CONCAT(Table1[[#This Row],[Part 1]]," - "),IF(COUNTBLANK(Table1[[#This Row],[Part 1]])=0,Table1[[#This Row],[Part 1]],""))</f>
        <v xml:space="preserve">Connectors - </v>
      </c>
      <c r="Z146" t="str">
        <f>IF(COUNTBLANK(Table1[[#This Row],[Part 3]])=0,_xlfn.CONCAT(Table1[[#This Row],[Part 2]]," - "),IF(COUNTBLANK(Table1[[#This Row],[Part 2]])=0,Table1[[#This Row],[Part 2]],""))</f>
        <v>RJ</v>
      </c>
      <c r="AA146" t="str">
        <f>IF(COUNTBLANK(Table1[[#This Row],[Part 4]])=0,_xlfn.CONCAT(Table1[[#This Row],[Part 3]]," - "),IF(COUNTBLANK(Table1[[#This Row],[Part 3]])=0,Table1[[#This Row],[Part 3]],""))</f>
        <v/>
      </c>
      <c r="AB146" t="str">
        <f>IF(COUNTBLANK(Table1[[#This Row],[Part 5]])=0,_xlfn.CONCAT(Table1[[#This Row],[Part 4]]," - "),IF(COUNTBLANK(Table1[[#This Row],[Part 4]])=0,Table1[[#This Row],[Part 4]],""))</f>
        <v/>
      </c>
      <c r="AC146" t="str">
        <f>IF(COUNTBLANK(Table1[[#This Row],[Part 6]])=0,_xlfn.CONCAT(Table1[[#This Row],[Part 5]]," - "),IF(COUNTBLANK(Table1[[#This Row],[Part 5]])=0,Table1[[#This Row],[Part 5]],""))</f>
        <v/>
      </c>
      <c r="AD146" t="str">
        <f>IF(COUNTBLANK(Table1[[#This Row],[Part 7]])=0,_xlfn.CONCAT(Table1[[#This Row],[Part 6]]," - "),IF(COUNTBLANK(Table1[[#This Row],[Part 6]])=0,Table1[[#This Row],[Part 6]],""))</f>
        <v/>
      </c>
      <c r="AE146" t="str">
        <f>IF(COUNTBLANK(Table1[[#This Row],[Part 7]])=0,Table1[[#This Row],[Part 7]],"")</f>
        <v/>
      </c>
    </row>
    <row r="147" spans="8:31" x14ac:dyDescent="0.35">
      <c r="H147" t="str">
        <f>_xlfn.CONCAT(Table1[[#This Row],[Eff pt 1]:[Eff pt 7]])</f>
        <v>Connectors - Rectangular</v>
      </c>
      <c r="I147" s="6" t="s">
        <v>34</v>
      </c>
      <c r="J147" t="s">
        <v>35</v>
      </c>
      <c r="P147" s="6" t="b">
        <v>1</v>
      </c>
      <c r="Q147" t="b">
        <v>1</v>
      </c>
      <c r="R147" t="b">
        <v>1</v>
      </c>
      <c r="S147" s="5" t="b">
        <v>1</v>
      </c>
      <c r="T147" t="b">
        <v>1</v>
      </c>
      <c r="U147" t="b">
        <v>1</v>
      </c>
      <c r="V147" t="b">
        <v>1</v>
      </c>
      <c r="W147">
        <v>-1</v>
      </c>
      <c r="X147" s="6">
        <f>(COUNTIF(Table1[[#This Row],[Spreadsheet]:[Functionality Verified?]],"=TRUE")/7) * 100</f>
        <v>100</v>
      </c>
      <c r="Y147" t="str">
        <f>IF(COUNTBLANK(Table1[[#This Row],[Part 2]])=0,_xlfn.CONCAT(Table1[[#This Row],[Part 1]]," - "),IF(COUNTBLANK(Table1[[#This Row],[Part 1]])=0,Table1[[#This Row],[Part 1]],""))</f>
        <v xml:space="preserve">Connectors - </v>
      </c>
      <c r="Z147" t="str">
        <f>IF(COUNTBLANK(Table1[[#This Row],[Part 3]])=0,_xlfn.CONCAT(Table1[[#This Row],[Part 2]]," - "),IF(COUNTBLANK(Table1[[#This Row],[Part 2]])=0,Table1[[#This Row],[Part 2]],""))</f>
        <v>Rectangular</v>
      </c>
      <c r="AA147" t="str">
        <f>IF(COUNTBLANK(Table1[[#This Row],[Part 4]])=0,_xlfn.CONCAT(Table1[[#This Row],[Part 3]]," - "),IF(COUNTBLANK(Table1[[#This Row],[Part 3]])=0,Table1[[#This Row],[Part 3]],""))</f>
        <v/>
      </c>
      <c r="AB147" t="str">
        <f>IF(COUNTBLANK(Table1[[#This Row],[Part 5]])=0,_xlfn.CONCAT(Table1[[#This Row],[Part 4]]," - "),IF(COUNTBLANK(Table1[[#This Row],[Part 4]])=0,Table1[[#This Row],[Part 4]],""))</f>
        <v/>
      </c>
      <c r="AC147" t="str">
        <f>IF(COUNTBLANK(Table1[[#This Row],[Part 6]])=0,_xlfn.CONCAT(Table1[[#This Row],[Part 5]]," - "),IF(COUNTBLANK(Table1[[#This Row],[Part 5]])=0,Table1[[#This Row],[Part 5]],""))</f>
        <v/>
      </c>
      <c r="AD147" t="str">
        <f>IF(COUNTBLANK(Table1[[#This Row],[Part 7]])=0,_xlfn.CONCAT(Table1[[#This Row],[Part 6]]," - "),IF(COUNTBLANK(Table1[[#This Row],[Part 6]])=0,Table1[[#This Row],[Part 6]],""))</f>
        <v/>
      </c>
      <c r="AE147" t="str">
        <f>IF(COUNTBLANK(Table1[[#This Row],[Part 7]])=0,Table1[[#This Row],[Part 7]],"")</f>
        <v/>
      </c>
    </row>
    <row r="148" spans="8:31" x14ac:dyDescent="0.35">
      <c r="H148" t="str">
        <f>_xlfn.CONCAT(Table1[[#This Row],[Eff pt 1]:[Eff pt 7]])</f>
        <v>Connectors - Programming</v>
      </c>
      <c r="I148" s="6" t="s">
        <v>34</v>
      </c>
      <c r="J148" t="s">
        <v>55</v>
      </c>
      <c r="P148" s="6" t="b">
        <v>1</v>
      </c>
      <c r="Q148" t="b">
        <v>1</v>
      </c>
      <c r="R148" t="b">
        <v>1</v>
      </c>
      <c r="S148" s="5" t="b">
        <v>1</v>
      </c>
      <c r="T148" t="b">
        <v>1</v>
      </c>
      <c r="U148" t="b">
        <v>1</v>
      </c>
      <c r="V148" t="b">
        <v>1</v>
      </c>
      <c r="W148">
        <v>-1</v>
      </c>
      <c r="X148" s="6">
        <f>(COUNTIF(Table1[[#This Row],[Spreadsheet]:[Functionality Verified?]],"=TRUE")/7) * 100</f>
        <v>100</v>
      </c>
      <c r="Y148" t="str">
        <f>IF(COUNTBLANK(Table1[[#This Row],[Part 2]])=0,_xlfn.CONCAT(Table1[[#This Row],[Part 1]]," - "),IF(COUNTBLANK(Table1[[#This Row],[Part 1]])=0,Table1[[#This Row],[Part 1]],""))</f>
        <v xml:space="preserve">Connectors - </v>
      </c>
      <c r="Z148" t="str">
        <f>IF(COUNTBLANK(Table1[[#This Row],[Part 3]])=0,_xlfn.CONCAT(Table1[[#This Row],[Part 2]]," - "),IF(COUNTBLANK(Table1[[#This Row],[Part 2]])=0,Table1[[#This Row],[Part 2]],""))</f>
        <v>Programming</v>
      </c>
      <c r="AA148" t="str">
        <f>IF(COUNTBLANK(Table1[[#This Row],[Part 4]])=0,_xlfn.CONCAT(Table1[[#This Row],[Part 3]]," - "),IF(COUNTBLANK(Table1[[#This Row],[Part 3]])=0,Table1[[#This Row],[Part 3]],""))</f>
        <v/>
      </c>
      <c r="AB148" t="str">
        <f>IF(COUNTBLANK(Table1[[#This Row],[Part 5]])=0,_xlfn.CONCAT(Table1[[#This Row],[Part 4]]," - "),IF(COUNTBLANK(Table1[[#This Row],[Part 4]])=0,Table1[[#This Row],[Part 4]],""))</f>
        <v/>
      </c>
      <c r="AC148" t="str">
        <f>IF(COUNTBLANK(Table1[[#This Row],[Part 6]])=0,_xlfn.CONCAT(Table1[[#This Row],[Part 5]]," - "),IF(COUNTBLANK(Table1[[#This Row],[Part 5]])=0,Table1[[#This Row],[Part 5]],""))</f>
        <v/>
      </c>
      <c r="AD148" t="str">
        <f>IF(COUNTBLANK(Table1[[#This Row],[Part 7]])=0,_xlfn.CONCAT(Table1[[#This Row],[Part 6]]," - "),IF(COUNTBLANK(Table1[[#This Row],[Part 6]])=0,Table1[[#This Row],[Part 6]],""))</f>
        <v/>
      </c>
      <c r="AE148" t="str">
        <f>IF(COUNTBLANK(Table1[[#This Row],[Part 7]])=0,Table1[[#This Row],[Part 7]],"")</f>
        <v/>
      </c>
    </row>
    <row r="149" spans="8:31" x14ac:dyDescent="0.35">
      <c r="H149" t="str">
        <f>_xlfn.CONCAT(Table1[[#This Row],[Eff pt 1]:[Eff pt 7]])</f>
        <v>Connectors - Pads - Through Hole</v>
      </c>
      <c r="I149" s="6" t="s">
        <v>34</v>
      </c>
      <c r="J149" t="s">
        <v>47</v>
      </c>
      <c r="K149" t="s">
        <v>52</v>
      </c>
      <c r="P149" s="6" t="b">
        <v>1</v>
      </c>
      <c r="Q149" t="b">
        <v>1</v>
      </c>
      <c r="R149" t="b">
        <v>1</v>
      </c>
      <c r="S149" s="5" t="b">
        <v>1</v>
      </c>
      <c r="T149" t="b">
        <v>1</v>
      </c>
      <c r="U149" t="b">
        <v>1</v>
      </c>
      <c r="V149" t="b">
        <v>1</v>
      </c>
      <c r="W149">
        <v>-1</v>
      </c>
      <c r="X149" s="6">
        <f>(COUNTIF(Table1[[#This Row],[Spreadsheet]:[Functionality Verified?]],"=TRUE")/7) * 100</f>
        <v>100</v>
      </c>
      <c r="Y149" t="str">
        <f>IF(COUNTBLANK(Table1[[#This Row],[Part 2]])=0,_xlfn.CONCAT(Table1[[#This Row],[Part 1]]," - "),IF(COUNTBLANK(Table1[[#This Row],[Part 1]])=0,Table1[[#This Row],[Part 1]],""))</f>
        <v xml:space="preserve">Connectors - </v>
      </c>
      <c r="Z149" t="str">
        <f>IF(COUNTBLANK(Table1[[#This Row],[Part 3]])=0,_xlfn.CONCAT(Table1[[#This Row],[Part 2]]," - "),IF(COUNTBLANK(Table1[[#This Row],[Part 2]])=0,Table1[[#This Row],[Part 2]],""))</f>
        <v xml:space="preserve">Pads - </v>
      </c>
      <c r="AA149" t="str">
        <f>IF(COUNTBLANK(Table1[[#This Row],[Part 4]])=0,_xlfn.CONCAT(Table1[[#This Row],[Part 3]]," - "),IF(COUNTBLANK(Table1[[#This Row],[Part 3]])=0,Table1[[#This Row],[Part 3]],""))</f>
        <v>Through Hole</v>
      </c>
      <c r="AB149" t="str">
        <f>IF(COUNTBLANK(Table1[[#This Row],[Part 5]])=0,_xlfn.CONCAT(Table1[[#This Row],[Part 4]]," - "),IF(COUNTBLANK(Table1[[#This Row],[Part 4]])=0,Table1[[#This Row],[Part 4]],""))</f>
        <v/>
      </c>
      <c r="AC149" t="str">
        <f>IF(COUNTBLANK(Table1[[#This Row],[Part 6]])=0,_xlfn.CONCAT(Table1[[#This Row],[Part 5]]," - "),IF(COUNTBLANK(Table1[[#This Row],[Part 5]])=0,Table1[[#This Row],[Part 5]],""))</f>
        <v/>
      </c>
      <c r="AD149" t="str">
        <f>IF(COUNTBLANK(Table1[[#This Row],[Part 7]])=0,_xlfn.CONCAT(Table1[[#This Row],[Part 6]]," - "),IF(COUNTBLANK(Table1[[#This Row],[Part 6]])=0,Table1[[#This Row],[Part 6]],""))</f>
        <v/>
      </c>
      <c r="AE149" t="str">
        <f>IF(COUNTBLANK(Table1[[#This Row],[Part 7]])=0,Table1[[#This Row],[Part 7]],"")</f>
        <v/>
      </c>
    </row>
    <row r="150" spans="8:31" x14ac:dyDescent="0.35">
      <c r="H150" t="str">
        <f>_xlfn.CONCAT(Table1[[#This Row],[Eff pt 1]:[Eff pt 7]])</f>
        <v>Connectors - Pads - SMD</v>
      </c>
      <c r="I150" s="6" t="s">
        <v>34</v>
      </c>
      <c r="J150" t="s">
        <v>47</v>
      </c>
      <c r="K150" t="s">
        <v>44</v>
      </c>
      <c r="P150" s="6" t="b">
        <v>1</v>
      </c>
      <c r="Q150" t="b">
        <v>1</v>
      </c>
      <c r="R150" t="b">
        <v>1</v>
      </c>
      <c r="S150" s="5" t="b">
        <v>1</v>
      </c>
      <c r="T150" t="b">
        <v>1</v>
      </c>
      <c r="U150" t="b">
        <v>1</v>
      </c>
      <c r="V150" t="b">
        <v>1</v>
      </c>
      <c r="W150">
        <v>-1</v>
      </c>
      <c r="X150" s="6">
        <f>(COUNTIF(Table1[[#This Row],[Spreadsheet]:[Functionality Verified?]],"=TRUE")/7) * 100</f>
        <v>100</v>
      </c>
      <c r="Y150" t="str">
        <f>IF(COUNTBLANK(Table1[[#This Row],[Part 2]])=0,_xlfn.CONCAT(Table1[[#This Row],[Part 1]]," - "),IF(COUNTBLANK(Table1[[#This Row],[Part 1]])=0,Table1[[#This Row],[Part 1]],""))</f>
        <v xml:space="preserve">Connectors - </v>
      </c>
      <c r="Z150" t="str">
        <f>IF(COUNTBLANK(Table1[[#This Row],[Part 3]])=0,_xlfn.CONCAT(Table1[[#This Row],[Part 2]]," - "),IF(COUNTBLANK(Table1[[#This Row],[Part 2]])=0,Table1[[#This Row],[Part 2]],""))</f>
        <v xml:space="preserve">Pads - </v>
      </c>
      <c r="AA150" t="str">
        <f>IF(COUNTBLANK(Table1[[#This Row],[Part 4]])=0,_xlfn.CONCAT(Table1[[#This Row],[Part 3]]," - "),IF(COUNTBLANK(Table1[[#This Row],[Part 3]])=0,Table1[[#This Row],[Part 3]],""))</f>
        <v>SMD</v>
      </c>
      <c r="AB150" t="str">
        <f>IF(COUNTBLANK(Table1[[#This Row],[Part 5]])=0,_xlfn.CONCAT(Table1[[#This Row],[Part 4]]," - "),IF(COUNTBLANK(Table1[[#This Row],[Part 4]])=0,Table1[[#This Row],[Part 4]],""))</f>
        <v/>
      </c>
      <c r="AC150" t="str">
        <f>IF(COUNTBLANK(Table1[[#This Row],[Part 6]])=0,_xlfn.CONCAT(Table1[[#This Row],[Part 5]]," - "),IF(COUNTBLANK(Table1[[#This Row],[Part 5]])=0,Table1[[#This Row],[Part 5]],""))</f>
        <v/>
      </c>
      <c r="AD150" t="str">
        <f>IF(COUNTBLANK(Table1[[#This Row],[Part 7]])=0,_xlfn.CONCAT(Table1[[#This Row],[Part 6]]," - "),IF(COUNTBLANK(Table1[[#This Row],[Part 6]])=0,Table1[[#This Row],[Part 6]],""))</f>
        <v/>
      </c>
      <c r="AE150" t="str">
        <f>IF(COUNTBLANK(Table1[[#This Row],[Part 7]])=0,Table1[[#This Row],[Part 7]],"")</f>
        <v/>
      </c>
    </row>
    <row r="151" spans="8:31" x14ac:dyDescent="0.35">
      <c r="H151" t="str">
        <f>_xlfn.CONCAT(Table1[[#This Row],[Eff pt 1]:[Eff pt 7]])</f>
        <v>Connectors - Mezzanine</v>
      </c>
      <c r="I151" s="6" t="s">
        <v>34</v>
      </c>
      <c r="J151" t="s">
        <v>179</v>
      </c>
      <c r="P151" s="6" t="b">
        <v>1</v>
      </c>
      <c r="Q151" t="b">
        <v>1</v>
      </c>
      <c r="R151" t="b">
        <v>1</v>
      </c>
      <c r="S151" s="5" t="b">
        <v>1</v>
      </c>
      <c r="T151" t="b">
        <v>1</v>
      </c>
      <c r="U151" t="b">
        <v>1</v>
      </c>
      <c r="V151" t="b">
        <v>1</v>
      </c>
      <c r="W151">
        <v>-1</v>
      </c>
      <c r="X151" s="6">
        <f>(COUNTIF(Table1[[#This Row],[Spreadsheet]:[Functionality Verified?]],"=TRUE")/7) * 100</f>
        <v>100</v>
      </c>
      <c r="Y151" t="str">
        <f>IF(COUNTBLANK(Table1[[#This Row],[Part 2]])=0,_xlfn.CONCAT(Table1[[#This Row],[Part 1]]," - "),IF(COUNTBLANK(Table1[[#This Row],[Part 1]])=0,Table1[[#This Row],[Part 1]],""))</f>
        <v xml:space="preserve">Connectors - </v>
      </c>
      <c r="Z151" t="str">
        <f>IF(COUNTBLANK(Table1[[#This Row],[Part 3]])=0,_xlfn.CONCAT(Table1[[#This Row],[Part 2]]," - "),IF(COUNTBLANK(Table1[[#This Row],[Part 2]])=0,Table1[[#This Row],[Part 2]],""))</f>
        <v>Mezzanine</v>
      </c>
      <c r="AA151" t="str">
        <f>IF(COUNTBLANK(Table1[[#This Row],[Part 4]])=0,_xlfn.CONCAT(Table1[[#This Row],[Part 3]]," - "),IF(COUNTBLANK(Table1[[#This Row],[Part 3]])=0,Table1[[#This Row],[Part 3]],""))</f>
        <v/>
      </c>
      <c r="AB151" t="str">
        <f>IF(COUNTBLANK(Table1[[#This Row],[Part 5]])=0,_xlfn.CONCAT(Table1[[#This Row],[Part 4]]," - "),IF(COUNTBLANK(Table1[[#This Row],[Part 4]])=0,Table1[[#This Row],[Part 4]],""))</f>
        <v/>
      </c>
      <c r="AC151" t="str">
        <f>IF(COUNTBLANK(Table1[[#This Row],[Part 6]])=0,_xlfn.CONCAT(Table1[[#This Row],[Part 5]]," - "),IF(COUNTBLANK(Table1[[#This Row],[Part 5]])=0,Table1[[#This Row],[Part 5]],""))</f>
        <v/>
      </c>
      <c r="AD151" t="str">
        <f>IF(COUNTBLANK(Table1[[#This Row],[Part 7]])=0,_xlfn.CONCAT(Table1[[#This Row],[Part 6]]," - "),IF(COUNTBLANK(Table1[[#This Row],[Part 6]])=0,Table1[[#This Row],[Part 6]],""))</f>
        <v/>
      </c>
      <c r="AE151" t="str">
        <f>IF(COUNTBLANK(Table1[[#This Row],[Part 7]])=0,Table1[[#This Row],[Part 7]],"")</f>
        <v/>
      </c>
    </row>
    <row r="152" spans="8:31" x14ac:dyDescent="0.35">
      <c r="H152" t="str">
        <f>_xlfn.CONCAT(Table1[[#This Row],[Eff pt 1]:[Eff pt 7]])</f>
        <v>Connectors - IC socket</v>
      </c>
      <c r="I152" s="6" t="s">
        <v>34</v>
      </c>
      <c r="J152" t="s">
        <v>198</v>
      </c>
      <c r="P152" s="6" t="b">
        <v>1</v>
      </c>
      <c r="Q152" t="b">
        <v>1</v>
      </c>
      <c r="R152" t="b">
        <v>1</v>
      </c>
      <c r="S152" s="5" t="b">
        <v>1</v>
      </c>
      <c r="T152" t="b">
        <v>1</v>
      </c>
      <c r="U152" t="b">
        <v>1</v>
      </c>
      <c r="V152" t="b">
        <v>1</v>
      </c>
      <c r="W152">
        <v>-1</v>
      </c>
      <c r="X152" s="6">
        <f>(COUNTIF(Table1[[#This Row],[Spreadsheet]:[Functionality Verified?]],"=TRUE")/7) * 100</f>
        <v>100</v>
      </c>
      <c r="Y152" t="str">
        <f>IF(COUNTBLANK(Table1[[#This Row],[Part 2]])=0,_xlfn.CONCAT(Table1[[#This Row],[Part 1]]," - "),IF(COUNTBLANK(Table1[[#This Row],[Part 1]])=0,Table1[[#This Row],[Part 1]],""))</f>
        <v xml:space="preserve">Connectors - </v>
      </c>
      <c r="Z152" t="str">
        <f>IF(COUNTBLANK(Table1[[#This Row],[Part 3]])=0,_xlfn.CONCAT(Table1[[#This Row],[Part 2]]," - "),IF(COUNTBLANK(Table1[[#This Row],[Part 2]])=0,Table1[[#This Row],[Part 2]],""))</f>
        <v>IC socket</v>
      </c>
      <c r="AA152" t="str">
        <f>IF(COUNTBLANK(Table1[[#This Row],[Part 4]])=0,_xlfn.CONCAT(Table1[[#This Row],[Part 3]]," - "),IF(COUNTBLANK(Table1[[#This Row],[Part 3]])=0,Table1[[#This Row],[Part 3]],""))</f>
        <v/>
      </c>
      <c r="AB152" t="str">
        <f>IF(COUNTBLANK(Table1[[#This Row],[Part 5]])=0,_xlfn.CONCAT(Table1[[#This Row],[Part 4]]," - "),IF(COUNTBLANK(Table1[[#This Row],[Part 4]])=0,Table1[[#This Row],[Part 4]],""))</f>
        <v/>
      </c>
      <c r="AC152" t="str">
        <f>IF(COUNTBLANK(Table1[[#This Row],[Part 6]])=0,_xlfn.CONCAT(Table1[[#This Row],[Part 5]]," - "),IF(COUNTBLANK(Table1[[#This Row],[Part 5]])=0,Table1[[#This Row],[Part 5]],""))</f>
        <v/>
      </c>
      <c r="AD152" t="str">
        <f>IF(COUNTBLANK(Table1[[#This Row],[Part 7]])=0,_xlfn.CONCAT(Table1[[#This Row],[Part 6]]," - "),IF(COUNTBLANK(Table1[[#This Row],[Part 6]])=0,Table1[[#This Row],[Part 6]],""))</f>
        <v/>
      </c>
      <c r="AE152" t="str">
        <f>IF(COUNTBLANK(Table1[[#This Row],[Part 7]])=0,Table1[[#This Row],[Part 7]],"")</f>
        <v/>
      </c>
    </row>
    <row r="153" spans="8:31" x14ac:dyDescent="0.35">
      <c r="H153" t="str">
        <f>_xlfn.CONCAT(Table1[[#This Row],[Eff pt 1]:[Eff pt 7]])</f>
        <v>Connectors - Barrel Jack</v>
      </c>
      <c r="I153" s="6" t="s">
        <v>34</v>
      </c>
      <c r="J153" t="s">
        <v>195</v>
      </c>
      <c r="P153" s="6" t="b">
        <v>1</v>
      </c>
      <c r="Q153" t="b">
        <v>1</v>
      </c>
      <c r="R153" t="b">
        <v>1</v>
      </c>
      <c r="S153" s="5" t="b">
        <v>1</v>
      </c>
      <c r="T153" t="b">
        <v>1</v>
      </c>
      <c r="U153" t="b">
        <v>1</v>
      </c>
      <c r="V153" t="b">
        <v>1</v>
      </c>
      <c r="W153">
        <v>-1</v>
      </c>
      <c r="X153" s="6">
        <f>(COUNTIF(Table1[[#This Row],[Spreadsheet]:[Functionality Verified?]],"=TRUE")/7) * 100</f>
        <v>100</v>
      </c>
      <c r="Y153" t="str">
        <f>IF(COUNTBLANK(Table1[[#This Row],[Part 2]])=0,_xlfn.CONCAT(Table1[[#This Row],[Part 1]]," - "),IF(COUNTBLANK(Table1[[#This Row],[Part 1]])=0,Table1[[#This Row],[Part 1]],""))</f>
        <v xml:space="preserve">Connectors - </v>
      </c>
      <c r="Z153" t="str">
        <f>IF(COUNTBLANK(Table1[[#This Row],[Part 3]])=0,_xlfn.CONCAT(Table1[[#This Row],[Part 2]]," - "),IF(COUNTBLANK(Table1[[#This Row],[Part 2]])=0,Table1[[#This Row],[Part 2]],""))</f>
        <v>Barrel Jack</v>
      </c>
      <c r="AA153" t="str">
        <f>IF(COUNTBLANK(Table1[[#This Row],[Part 4]])=0,_xlfn.CONCAT(Table1[[#This Row],[Part 3]]," - "),IF(COUNTBLANK(Table1[[#This Row],[Part 3]])=0,Table1[[#This Row],[Part 3]],""))</f>
        <v/>
      </c>
      <c r="AB153" t="str">
        <f>IF(COUNTBLANK(Table1[[#This Row],[Part 5]])=0,_xlfn.CONCAT(Table1[[#This Row],[Part 4]]," - "),IF(COUNTBLANK(Table1[[#This Row],[Part 4]])=0,Table1[[#This Row],[Part 4]],""))</f>
        <v/>
      </c>
      <c r="AC153" t="str">
        <f>IF(COUNTBLANK(Table1[[#This Row],[Part 6]])=0,_xlfn.CONCAT(Table1[[#This Row],[Part 5]]," - "),IF(COUNTBLANK(Table1[[#This Row],[Part 5]])=0,Table1[[#This Row],[Part 5]],""))</f>
        <v/>
      </c>
      <c r="AD153" t="str">
        <f>IF(COUNTBLANK(Table1[[#This Row],[Part 7]])=0,_xlfn.CONCAT(Table1[[#This Row],[Part 6]]," - "),IF(COUNTBLANK(Table1[[#This Row],[Part 6]])=0,Table1[[#This Row],[Part 6]],""))</f>
        <v/>
      </c>
      <c r="AE153" t="str">
        <f>IF(COUNTBLANK(Table1[[#This Row],[Part 7]])=0,Table1[[#This Row],[Part 7]],"")</f>
        <v/>
      </c>
    </row>
    <row r="154" spans="8:31" x14ac:dyDescent="0.35">
      <c r="H154" t="str">
        <f>_xlfn.CONCAT(Table1[[#This Row],[Eff pt 1]:[Eff pt 7]])</f>
        <v>Clock&amp;Timing - Oscillators  - Fixed - XO</v>
      </c>
      <c r="I154" s="6" t="s">
        <v>153</v>
      </c>
      <c r="J154" t="s">
        <v>124</v>
      </c>
      <c r="K154" t="s">
        <v>125</v>
      </c>
      <c r="L154" t="s">
        <v>126</v>
      </c>
      <c r="P154" s="6" t="b">
        <v>1</v>
      </c>
      <c r="Q154" t="b">
        <v>1</v>
      </c>
      <c r="R154" t="b">
        <v>1</v>
      </c>
      <c r="S154" s="5" t="b">
        <v>1</v>
      </c>
      <c r="T154" t="b">
        <v>1</v>
      </c>
      <c r="U154" t="b">
        <v>1</v>
      </c>
      <c r="V154" t="b">
        <v>1</v>
      </c>
      <c r="W154">
        <v>-1</v>
      </c>
      <c r="X154" s="6">
        <f>(COUNTIF(Table1[[#This Row],[Spreadsheet]:[Functionality Verified?]],"=TRUE")/7) * 100</f>
        <v>100</v>
      </c>
      <c r="Y154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54" t="str">
        <f>IF(COUNTBLANK(Table1[[#This Row],[Part 3]])=0,_xlfn.CONCAT(Table1[[#This Row],[Part 2]]," - "),IF(COUNTBLANK(Table1[[#This Row],[Part 2]])=0,Table1[[#This Row],[Part 2]],""))</f>
        <v xml:space="preserve">Oscillators  - </v>
      </c>
      <c r="AA154" t="str">
        <f>IF(COUNTBLANK(Table1[[#This Row],[Part 4]])=0,_xlfn.CONCAT(Table1[[#This Row],[Part 3]]," - "),IF(COUNTBLANK(Table1[[#This Row],[Part 3]])=0,Table1[[#This Row],[Part 3]],""))</f>
        <v xml:space="preserve">Fixed - </v>
      </c>
      <c r="AB154" t="str">
        <f>IF(COUNTBLANK(Table1[[#This Row],[Part 5]])=0,_xlfn.CONCAT(Table1[[#This Row],[Part 4]]," - "),IF(COUNTBLANK(Table1[[#This Row],[Part 4]])=0,Table1[[#This Row],[Part 4]],""))</f>
        <v>XO</v>
      </c>
      <c r="AC154" t="str">
        <f>IF(COUNTBLANK(Table1[[#This Row],[Part 6]])=0,_xlfn.CONCAT(Table1[[#This Row],[Part 5]]," - "),IF(COUNTBLANK(Table1[[#This Row],[Part 5]])=0,Table1[[#This Row],[Part 5]],""))</f>
        <v/>
      </c>
      <c r="AD154" t="str">
        <f>IF(COUNTBLANK(Table1[[#This Row],[Part 7]])=0,_xlfn.CONCAT(Table1[[#This Row],[Part 6]]," - "),IF(COUNTBLANK(Table1[[#This Row],[Part 6]])=0,Table1[[#This Row],[Part 6]],""))</f>
        <v/>
      </c>
      <c r="AE154" t="str">
        <f>IF(COUNTBLANK(Table1[[#This Row],[Part 7]])=0,Table1[[#This Row],[Part 7]],"")</f>
        <v/>
      </c>
    </row>
    <row r="155" spans="8:31" x14ac:dyDescent="0.35">
      <c r="H155" t="str">
        <f>_xlfn.CONCAT(Table1[[#This Row],[Eff pt 1]:[Eff pt 7]])</f>
        <v>Clock&amp;Timing - ICs - Generators &amp; Synthisizers</v>
      </c>
      <c r="I155" s="6" t="s">
        <v>153</v>
      </c>
      <c r="J155" t="s">
        <v>100</v>
      </c>
      <c r="K155" t="s">
        <v>140</v>
      </c>
      <c r="P155" s="6" t="b">
        <v>1</v>
      </c>
      <c r="Q155" t="b">
        <v>1</v>
      </c>
      <c r="R155" t="b">
        <v>1</v>
      </c>
      <c r="S155" s="5" t="b">
        <v>1</v>
      </c>
      <c r="T155" t="b">
        <v>1</v>
      </c>
      <c r="U155" t="b">
        <v>1</v>
      </c>
      <c r="V155" t="b">
        <v>1</v>
      </c>
      <c r="W155">
        <v>-1</v>
      </c>
      <c r="X155" s="6">
        <f>(COUNTIF(Table1[[#This Row],[Spreadsheet]:[Functionality Verified?]],"=TRUE")/7) * 100</f>
        <v>100</v>
      </c>
      <c r="Y155" t="str">
        <f>IF(COUNTBLANK(Table1[[#This Row],[Part 2]])=0,_xlfn.CONCAT(Table1[[#This Row],[Part 1]]," - "),IF(COUNTBLANK(Table1[[#This Row],[Part 1]])=0,Table1[[#This Row],[Part 1]],""))</f>
        <v xml:space="preserve">Clock&amp;Timing - </v>
      </c>
      <c r="Z155" t="str">
        <f>IF(COUNTBLANK(Table1[[#This Row],[Part 3]])=0,_xlfn.CONCAT(Table1[[#This Row],[Part 2]]," - "),IF(COUNTBLANK(Table1[[#This Row],[Part 2]])=0,Table1[[#This Row],[Part 2]],""))</f>
        <v xml:space="preserve">ICs - </v>
      </c>
      <c r="AA155" t="str">
        <f>IF(COUNTBLANK(Table1[[#This Row],[Part 4]])=0,_xlfn.CONCAT(Table1[[#This Row],[Part 3]]," - "),IF(COUNTBLANK(Table1[[#This Row],[Part 3]])=0,Table1[[#This Row],[Part 3]],""))</f>
        <v>Generators &amp; Synthisizers</v>
      </c>
      <c r="AB155" t="str">
        <f>IF(COUNTBLANK(Table1[[#This Row],[Part 5]])=0,_xlfn.CONCAT(Table1[[#This Row],[Part 4]]," - "),IF(COUNTBLANK(Table1[[#This Row],[Part 4]])=0,Table1[[#This Row],[Part 4]],""))</f>
        <v/>
      </c>
      <c r="AC155" t="str">
        <f>IF(COUNTBLANK(Table1[[#This Row],[Part 6]])=0,_xlfn.CONCAT(Table1[[#This Row],[Part 5]]," - "),IF(COUNTBLANK(Table1[[#This Row],[Part 5]])=0,Table1[[#This Row],[Part 5]],""))</f>
        <v/>
      </c>
      <c r="AD155" t="str">
        <f>IF(COUNTBLANK(Table1[[#This Row],[Part 7]])=0,_xlfn.CONCAT(Table1[[#This Row],[Part 6]]," - "),IF(COUNTBLANK(Table1[[#This Row],[Part 6]])=0,Table1[[#This Row],[Part 6]],""))</f>
        <v/>
      </c>
      <c r="AE155" t="str">
        <f>IF(COUNTBLANK(Table1[[#This Row],[Part 7]])=0,Table1[[#This Row],[Part 7]],"")</f>
        <v/>
      </c>
    </row>
    <row r="156" spans="8:31" x14ac:dyDescent="0.35">
      <c r="H156" t="str">
        <f>_xlfn.CONCAT(Table1[[#This Row],[Eff pt 1]:[Eff pt 7]])</f>
        <v>Capacitors - Unpolarized</v>
      </c>
      <c r="I156" s="6" t="s">
        <v>27</v>
      </c>
      <c r="J156" t="s">
        <v>33</v>
      </c>
      <c r="P156" s="6" t="b">
        <v>1</v>
      </c>
      <c r="Q156" t="b">
        <v>1</v>
      </c>
      <c r="R156" t="b">
        <v>1</v>
      </c>
      <c r="S156" s="5" t="b">
        <v>1</v>
      </c>
      <c r="T156" t="b">
        <v>1</v>
      </c>
      <c r="U156" t="b">
        <v>1</v>
      </c>
      <c r="V156" t="b">
        <v>1</v>
      </c>
      <c r="W156">
        <v>-1</v>
      </c>
      <c r="X156" s="6">
        <f>(COUNTIF(Table1[[#This Row],[Spreadsheet]:[Functionality Verified?]],"=TRUE")/7) * 100</f>
        <v>100</v>
      </c>
      <c r="Y156" t="str">
        <f>IF(COUNTBLANK(Table1[[#This Row],[Part 2]])=0,_xlfn.CONCAT(Table1[[#This Row],[Part 1]]," - "),IF(COUNTBLANK(Table1[[#This Row],[Part 1]])=0,Table1[[#This Row],[Part 1]],""))</f>
        <v xml:space="preserve">Capacitors - </v>
      </c>
      <c r="Z156" t="str">
        <f>IF(COUNTBLANK(Table1[[#This Row],[Part 3]])=0,_xlfn.CONCAT(Table1[[#This Row],[Part 2]]," - "),IF(COUNTBLANK(Table1[[#This Row],[Part 2]])=0,Table1[[#This Row],[Part 2]],""))</f>
        <v>Unpolarized</v>
      </c>
      <c r="AA156" t="str">
        <f>IF(COUNTBLANK(Table1[[#This Row],[Part 4]])=0,_xlfn.CONCAT(Table1[[#This Row],[Part 3]]," - "),IF(COUNTBLANK(Table1[[#This Row],[Part 3]])=0,Table1[[#This Row],[Part 3]],""))</f>
        <v/>
      </c>
      <c r="AB156" t="str">
        <f>IF(COUNTBLANK(Table1[[#This Row],[Part 5]])=0,_xlfn.CONCAT(Table1[[#This Row],[Part 4]]," - "),IF(COUNTBLANK(Table1[[#This Row],[Part 4]])=0,Table1[[#This Row],[Part 4]],""))</f>
        <v/>
      </c>
      <c r="AC156" t="str">
        <f>IF(COUNTBLANK(Table1[[#This Row],[Part 6]])=0,_xlfn.CONCAT(Table1[[#This Row],[Part 5]]," - "),IF(COUNTBLANK(Table1[[#This Row],[Part 5]])=0,Table1[[#This Row],[Part 5]],""))</f>
        <v/>
      </c>
      <c r="AD156" t="str">
        <f>IF(COUNTBLANK(Table1[[#This Row],[Part 7]])=0,_xlfn.CONCAT(Table1[[#This Row],[Part 6]]," - "),IF(COUNTBLANK(Table1[[#This Row],[Part 6]])=0,Table1[[#This Row],[Part 6]],""))</f>
        <v/>
      </c>
      <c r="AE156" t="str">
        <f>IF(COUNTBLANK(Table1[[#This Row],[Part 7]])=0,Table1[[#This Row],[Part 7]],"")</f>
        <v/>
      </c>
    </row>
    <row r="157" spans="8:31" x14ac:dyDescent="0.35">
      <c r="H157" t="str">
        <f>_xlfn.CONCAT(Table1[[#This Row],[Eff pt 1]:[Eff pt 7]])</f>
        <v>Cables - Premade</v>
      </c>
      <c r="I157" s="6" t="s">
        <v>30</v>
      </c>
      <c r="J157" t="s">
        <v>31</v>
      </c>
      <c r="P157" s="6" t="b">
        <v>1</v>
      </c>
      <c r="Q157" t="b">
        <v>1</v>
      </c>
      <c r="R157" t="b">
        <v>1</v>
      </c>
      <c r="S157" s="5" t="b">
        <v>1</v>
      </c>
      <c r="T157" t="b">
        <v>1</v>
      </c>
      <c r="U157" t="b">
        <v>1</v>
      </c>
      <c r="V157" t="b">
        <v>1</v>
      </c>
      <c r="W157">
        <v>-1</v>
      </c>
      <c r="X157" s="6">
        <f>(COUNTIF(Table1[[#This Row],[Spreadsheet]:[Functionality Verified?]],"=TRUE")/7) * 100</f>
        <v>100</v>
      </c>
      <c r="Y157" t="str">
        <f>IF(COUNTBLANK(Table1[[#This Row],[Part 2]])=0,_xlfn.CONCAT(Table1[[#This Row],[Part 1]]," - "),IF(COUNTBLANK(Table1[[#This Row],[Part 1]])=0,Table1[[#This Row],[Part 1]],""))</f>
        <v xml:space="preserve">Cables - </v>
      </c>
      <c r="Z157" t="str">
        <f>IF(COUNTBLANK(Table1[[#This Row],[Part 3]])=0,_xlfn.CONCAT(Table1[[#This Row],[Part 2]]," - "),IF(COUNTBLANK(Table1[[#This Row],[Part 2]])=0,Table1[[#This Row],[Part 2]],""))</f>
        <v>Premade</v>
      </c>
      <c r="AA157" t="str">
        <f>IF(COUNTBLANK(Table1[[#This Row],[Part 4]])=0,_xlfn.CONCAT(Table1[[#This Row],[Part 3]]," - "),IF(COUNTBLANK(Table1[[#This Row],[Part 3]])=0,Table1[[#This Row],[Part 3]],""))</f>
        <v/>
      </c>
      <c r="AB157" t="str">
        <f>IF(COUNTBLANK(Table1[[#This Row],[Part 5]])=0,_xlfn.CONCAT(Table1[[#This Row],[Part 4]]," - "),IF(COUNTBLANK(Table1[[#This Row],[Part 4]])=0,Table1[[#This Row],[Part 4]],""))</f>
        <v/>
      </c>
      <c r="AC157" t="str">
        <f>IF(COUNTBLANK(Table1[[#This Row],[Part 6]])=0,_xlfn.CONCAT(Table1[[#This Row],[Part 5]]," - "),IF(COUNTBLANK(Table1[[#This Row],[Part 5]])=0,Table1[[#This Row],[Part 5]],""))</f>
        <v/>
      </c>
      <c r="AD157" t="str">
        <f>IF(COUNTBLANK(Table1[[#This Row],[Part 7]])=0,_xlfn.CONCAT(Table1[[#This Row],[Part 6]]," - "),IF(COUNTBLANK(Table1[[#This Row],[Part 6]])=0,Table1[[#This Row],[Part 6]],""))</f>
        <v/>
      </c>
      <c r="AE157" t="str">
        <f>IF(COUNTBLANK(Table1[[#This Row],[Part 7]])=0,Table1[[#This Row],[Part 7]],"")</f>
        <v/>
      </c>
    </row>
  </sheetData>
  <mergeCells count="9">
    <mergeCell ref="B3:B15"/>
    <mergeCell ref="I10:O10"/>
    <mergeCell ref="P10:R10"/>
    <mergeCell ref="Y10:AE10"/>
    <mergeCell ref="S10:U10"/>
    <mergeCell ref="C3:C7"/>
    <mergeCell ref="C8:C10"/>
    <mergeCell ref="C11:C13"/>
    <mergeCell ref="C14:C17"/>
  </mergeCells>
  <phoneticPr fontId="1" type="noConversion"/>
  <conditionalFormatting sqref="E15">
    <cfRule type="cellIs" dxfId="5" priority="3" operator="greaterThan">
      <formula>0</formula>
    </cfRule>
  </conditionalFormatting>
  <conditionalFormatting sqref="H12:H157">
    <cfRule type="expression" dxfId="4" priority="2">
      <formula>IF($W12 = -1, 1, 0)</formula>
    </cfRule>
  </conditionalFormatting>
  <conditionalFormatting sqref="H12:O9999">
    <cfRule type="expression" dxfId="3" priority="36">
      <formula>IF($W12 &gt;= $E$18, 1, 0)</formula>
    </cfRule>
  </conditionalFormatting>
  <conditionalFormatting sqref="P12:V157">
    <cfRule type="containsText" dxfId="2" priority="1" operator="containsText" text="TRALSE">
      <formula>NOT(ISERROR(SEARCH("TRALSE",P12)))</formula>
    </cfRule>
    <cfRule type="containsBlanks" priority="5" stopIfTrue="1">
      <formula>LEN(TRIM(P12))=0</formula>
    </cfRule>
    <cfRule type="notContainsText" dxfId="1" priority="6" operator="notContains" text="TRUE">
      <formula>ISERROR(SEARCH("TRUE",P12))</formula>
    </cfRule>
    <cfRule type="containsText" dxfId="0" priority="7" operator="containsText" text="TRUE">
      <formula>NOT(ISERROR(SEARCH("TRUE",P12)))</formula>
    </cfRule>
  </conditionalFormatting>
  <conditionalFormatting sqref="W12:W157">
    <cfRule type="cellIs" priority="77" stopIfTrue="1" operator="equal">
      <formula>-1</formula>
    </cfRule>
    <cfRule type="colorScale" priority="78">
      <colorScale>
        <cfvo type="num" val="0"/>
        <cfvo type="max"/>
        <color theme="9"/>
        <color rgb="FFFF0000"/>
      </colorScale>
    </cfRule>
  </conditionalFormatting>
  <conditionalFormatting sqref="X12:X157">
    <cfRule type="expression" priority="9" stopIfTrue="1">
      <formula>IF(COUNTA(P12:W12)&gt;0,0,1)</formula>
    </cfRule>
    <cfRule type="colorScale" priority="10">
      <colorScale>
        <cfvo type="num" val="0"/>
        <cfvo type="num" val="40"/>
        <cfvo type="num" val="100"/>
        <color rgb="FFFF0000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2026-03-07T02:43:14Z</dcterms:modified>
</cp:coreProperties>
</file>