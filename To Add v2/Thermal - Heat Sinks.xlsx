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4028878E-8685-462A-9B2E-649571CE091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 s="1"/>
  <c r="U7" i="1" s="1"/>
  <c r="E2" i="1"/>
  <c r="F2" i="1"/>
  <c r="G2" i="1"/>
  <c r="H2" i="1"/>
  <c r="I2" i="1"/>
  <c r="J2" i="1"/>
  <c r="Z7" i="1"/>
  <c r="D2" i="1"/>
  <c r="K2" i="1"/>
  <c r="L2" i="1"/>
  <c r="M2" i="1"/>
  <c r="N2" i="1"/>
  <c r="O2" i="1"/>
  <c r="P2" i="1"/>
  <c r="Q2" i="1"/>
  <c r="R2" i="1"/>
  <c r="C2" i="1" l="1"/>
  <c r="V7" i="1"/>
  <c r="Z3" i="1"/>
  <c r="Z2" i="1"/>
  <c r="Z5" i="1"/>
  <c r="W7" i="1"/>
  <c r="Z4" i="1" s="1"/>
</calcChain>
</file>

<file path=xl/sharedStrings.xml><?xml version="1.0" encoding="utf-8"?>
<sst xmlns="http://schemas.openxmlformats.org/spreadsheetml/2006/main" count="40" uniqueCount="40">
  <si>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</si>
  <si>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</si>
  <si>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</si>
  <si>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</si>
  <si>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</si>
  <si>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</si>
  <si>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</si>
  <si>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</si>
  <si>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</si>
  <si>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</si>
  <si>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</si>
  <si>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</si>
  <si>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</si>
  <si>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</si>
  <si>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</si>
  <si>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</si>
  <si>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</si>
  <si>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</si>
  <si>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</si>
  <si>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</si>
  <si>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</si>
  <si>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Heat Sink Size</t>
  </si>
  <si>
    <t>Footprint Size</t>
  </si>
  <si>
    <t>Fin Height</t>
  </si>
  <si>
    <t>Style</t>
  </si>
  <si>
    <t>Pwr Diss @ Temp Rise</t>
  </si>
  <si>
    <t>Thermal Res @ Forced Air Flow</t>
  </si>
  <si>
    <t>23mmx23mm</t>
  </si>
  <si>
    <t>23x33mm</t>
  </si>
  <si>
    <t>33mm</t>
  </si>
  <si>
    <t>Push-Pin</t>
  </si>
  <si>
    <t>???°C/W</t>
  </si>
  <si>
    <t>2.80°C/W @ 200 LFM</t>
  </si>
  <si>
    <t>Wakefield-Vette</t>
  </si>
  <si>
    <t>960-23-33-D-AB-0</t>
  </si>
  <si>
    <t>345-1804-ND</t>
  </si>
  <si>
    <t>https://mm.digikey.com/Volume0/opasdata/d220001/medias/docus/693/960_Series.pdf</t>
  </si>
  <si>
    <t>0Dan_Thermal:Heatsink_Push-Pin</t>
  </si>
  <si>
    <t>Thermals:HS_960-23-33-D-AB-0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</si>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</sst>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1" xfId="1" applyFont="1" applyBorder="1"/>
    <xf numFmtId="0" fontId="2" fillId="0" borderId="0" xfId="1"/>
    <xf numFmtId="49" fontId="0" fillId="0" borderId="0" xfId="1" applyNumberFormat="1" applyFont="1"/>
  </cellXfs>
  <cellStyles count="2">
    <cellStyle name="Default" xfId="1" xr:uid="{B2695170-3A8F-4A03-A282-42E332F514F5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7"/>
  <sheetViews>
    <sheetView tabSelected="1" workbookViewId="0">
      <selection activeCell="R10" sqref="R10"/>
    </sheetView>
  </sheetViews>
  <sheetFormatPr defaultRowHeight="14.5"/>
  <cols>
    <col min="3" max="3" width="16.1796875" customWidth="1"/>
    <col min="4" max="4" width="12.90625" customWidth="1"/>
    <col min="5" max="6" width="12.81640625" bestFit="1" customWidth="1"/>
    <col min="7" max="7" width="9.54296875" bestFit="1" customWidth="1"/>
    <col min="8" max="8" width="5.1796875" bestFit="1" customWidth="1"/>
    <col min="9" max="9" width="19.6328125" bestFit="1" customWidth="1"/>
    <col min="10" max="10" width="27.54296875" bestFit="1" customWidth="1"/>
    <col min="13" max="13" width="9.6328125" bestFit="1" customWidth="1"/>
    <col min="14" max="14" width="12.08984375" bestFit="1" customWidth="1"/>
    <col min="25" max="25" width="15" bestFit="1" customWidth="1"/>
  </cols>
  <sheetData>
    <row r="1" spans="2:26">
      <c r="B1" s="1"/>
      <c r="L1" s="1"/>
    </row>
    <row r="2" spans="2:26">
      <c r="B2" t="s">
        <v>0</v>
      </c>
      <c r="C2">
        <f>COUNTA(C7:C9999)</f>
        <v>1</v>
      </c>
      <c r="D2">
        <f t="shared" ref="D2:R2" si="0">COUNTA(D7:D9999)</f>
        <v>1</v>
      </c>
      <c r="E2">
        <f t="shared" si="0"/>
        <v>1</v>
      </c>
      <c r="F2">
        <f t="shared" ref="F2:J2" si="1">COUNTA(F7:F9999)</f>
        <v>1</v>
      </c>
      <c r="G2">
        <f t="shared" si="1"/>
        <v>1</v>
      </c>
      <c r="H2">
        <f t="shared" si="1"/>
        <v>1</v>
      </c>
      <c r="I2">
        <f t="shared" si="1"/>
        <v>1</v>
      </c>
      <c r="J2">
        <f t="shared" si="1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Y2" t="s">
        <v>1</v>
      </c>
      <c r="Z2">
        <f>AVERAGE(V7:V9999)</f>
        <v>100</v>
      </c>
    </row>
    <row r="3" spans="2:26">
      <c r="Y3" t="s">
        <v>2</v>
      </c>
      <c r="Z3">
        <f>MAX(C2:R2)</f>
        <v>1</v>
      </c>
    </row>
    <row r="4" spans="2:26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Y4" t="s">
        <v>4</v>
      </c>
      <c r="Z4">
        <f>SUM(W7:W9999)</f>
        <v>1</v>
      </c>
    </row>
    <row r="5" spans="2:26">
      <c r="Y5" t="s">
        <v>5</v>
      </c>
      <c r="Z5">
        <f>COUNTIF(V7:V9999,"&lt;100")</f>
        <v>0</v>
      </c>
    </row>
    <row r="6" spans="2:26">
      <c r="C6" t="s">
        <v>6</v>
      </c>
      <c r="D6" t="s">
        <v>7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U6" t="s">
        <v>16</v>
      </c>
      <c r="V6" t="s">
        <v>17</v>
      </c>
      <c r="W6" t="s">
        <v>18</v>
      </c>
    </row>
    <row r="7" spans="2:26">
      <c r="C7" s="3" t="str">
        <f>_xlfn.CONCAT(D7,", ",I7,", ",J7," ",R7)</f>
        <v>23mmx23mmx33mm Push-Pin, ???°C/W, 2.80°C/W @ 200 LFM  </v>
      </c>
      <c r="D7" s="3" t="str">
        <f>_xlfn.CONCAT(E7,"x",G7," ",H7)</f>
        <v>23mmx23mmx33mm Push-Pin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32</v>
      </c>
      <c r="K7" s="3" t="s">
        <v>33</v>
      </c>
      <c r="L7" s="4" t="s">
        <v>34</v>
      </c>
      <c r="M7" s="3" t="s">
        <v>20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39</v>
      </c>
      <c r="U7">
        <f>COUNTBLANK(C7:R7)</f>
        <v>0</v>
      </c>
      <c r="V7">
        <f>100*COUNTA(C7:R7)/$Z$7</f>
        <v>100</v>
      </c>
      <c r="W7">
        <f>IF(V7=100,1,0)</f>
        <v>1</v>
      </c>
      <c r="Y7" t="s">
        <v>19</v>
      </c>
      <c r="Z7">
        <f>SUM(C4:R4)</f>
        <v>16</v>
      </c>
    </row>
  </sheetData>
  <conditionalFormatting sqref="C7:R38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2025-10-21T15:03:20Z</dcterms:modified>
</cp:coreProperties>
</file>