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ithub\Danakil_KiCad_DB\To Add v2\"/>
    </mc:Choice>
  </mc:AlternateContent>
  <xr:revisionPtr revIDLastSave="0" documentId="13_ncr:1_{18A3DB41-6727-4F20-A937-1523BFEDCE7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P7" i="1"/>
  <c r="U7" i="1"/>
  <c r="Q7" i="1" s="1"/>
  <c r="D2" i="1"/>
  <c r="F2" i="1"/>
  <c r="G2" i="1"/>
  <c r="H2" i="1"/>
  <c r="I2" i="1"/>
  <c r="J2" i="1"/>
  <c r="K2" i="1"/>
  <c r="L2" i="1"/>
  <c r="M2" i="1"/>
  <c r="C2" i="1"/>
  <c r="U3" i="1" l="1"/>
  <c r="U2" i="1"/>
  <c r="U5" i="1"/>
  <c r="R7" i="1"/>
  <c r="U4" i="1" s="1"/>
</calcChain>
</file>

<file path=xl/sharedStrings.xml><?xml version="1.0" encoding="utf-8"?>
<sst xmlns="http://schemas.openxmlformats.org/spreadsheetml/2006/main" count="35" uniqueCount="33">
  <si>
    <t>Remember to modify the Kicad DBL!!!</t>
  </si>
  <si>
    <t>Remember to add to the database!!!</t>
  </si>
  <si>
    <t>Totals</t>
  </si>
  <si>
    <t>% Completed</t>
  </si>
  <si>
    <t>Entries</t>
  </si>
  <si>
    <t>DB Param</t>
  </si>
  <si>
    <t>Total Complete</t>
  </si>
  <si>
    <t>Total Incomplete</t>
  </si>
  <si>
    <t>Name</t>
  </si>
  <si>
    <t>Value</t>
  </si>
  <si>
    <t>MFG</t>
  </si>
  <si>
    <t>MFG PN</t>
  </si>
  <si>
    <t>Distributor</t>
  </si>
  <si>
    <t>Distributor Pn</t>
  </si>
  <si>
    <t>Datasheet</t>
  </si>
  <si>
    <t>Symbol</t>
  </si>
  <si>
    <t>Footprint</t>
  </si>
  <si>
    <t>Comment</t>
  </si>
  <si>
    <t>Blanks</t>
  </si>
  <si>
    <t>% Filled</t>
  </si>
  <si>
    <t>Complete?</t>
  </si>
  <si>
    <t>DB Params</t>
  </si>
  <si>
    <t>Arctic MX-6</t>
  </si>
  <si>
    <t>Thermal Conductivity (W/m-K)</t>
  </si>
  <si>
    <t>Arctic</t>
  </si>
  <si>
    <t>ACTCP00081A</t>
  </si>
  <si>
    <t>Amazon</t>
  </si>
  <si>
    <t>N/A</t>
  </si>
  <si>
    <t>https://www.arctic.de/media/77/c5/74/1666609891/Spec_Sheet_MX-6_EN.pdf</t>
  </si>
  <si>
    <t>Corsair XTM50</t>
  </si>
  <si>
    <t>Corsair</t>
  </si>
  <si>
    <t>CT-9010002-WW</t>
  </si>
  <si>
    <t>Best 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</si>
</sst>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8"/>
  <sheetViews>
    <sheetView tabSelected="1" workbookViewId="0">
      <selection activeCell="D9" sqref="D9"/>
    </sheetView>
  </sheetViews>
  <sheetFormatPr defaultRowHeight="14.5" x14ac:dyDescent="0.35"/>
  <cols>
    <col min="3" max="3" width="18.36328125" bestFit="1" customWidth="1"/>
    <col min="4" max="4" width="13" bestFit="1" customWidth="1"/>
    <col min="5" max="5" width="11.7265625" customWidth="1"/>
    <col min="7" max="7" width="15.08984375" customWidth="1"/>
    <col min="8" max="8" width="9.6328125" bestFit="1" customWidth="1"/>
    <col min="9" max="9" width="12.81640625" bestFit="1" customWidth="1"/>
    <col min="10" max="10" width="9.54296875" bestFit="1" customWidth="1"/>
    <col min="20" max="20" width="15" bestFit="1" customWidth="1"/>
  </cols>
  <sheetData>
    <row r="1" spans="2:21" x14ac:dyDescent="0.35">
      <c r="B1" s="1" t="s">
        <v>0</v>
      </c>
      <c r="G1" s="1" t="s">
        <v>1</v>
      </c>
    </row>
    <row r="2" spans="2:21" x14ac:dyDescent="0.35">
      <c r="B2" t="s">
        <v>2</v>
      </c>
      <c r="C2">
        <f>COUNTA(C7:C9999)</f>
        <v>0</v>
      </c>
      <c r="D2">
        <f t="shared" ref="D2:M2" si="0">COUNTA(D7:D9999)</f>
        <v>2</v>
      </c>
      <c r="E2">
        <f>COUNTA(E7:E9999)</f>
        <v>2</v>
      </c>
      <c r="F2">
        <f t="shared" si="0"/>
        <v>2</v>
      </c>
      <c r="G2">
        <f t="shared" si="0"/>
        <v>2</v>
      </c>
      <c r="H2">
        <f t="shared" si="0"/>
        <v>2</v>
      </c>
      <c r="I2">
        <f t="shared" si="0"/>
        <v>2</v>
      </c>
      <c r="J2">
        <f t="shared" si="0"/>
        <v>2</v>
      </c>
      <c r="K2">
        <f t="shared" si="0"/>
        <v>0</v>
      </c>
      <c r="L2">
        <f t="shared" si="0"/>
        <v>0</v>
      </c>
      <c r="M2">
        <f t="shared" si="0"/>
        <v>0</v>
      </c>
      <c r="T2" t="s">
        <v>3</v>
      </c>
      <c r="U2">
        <f>AVERAGE(Q7:Q9999)</f>
        <v>63.636363636363633</v>
      </c>
    </row>
    <row r="3" spans="2:21" x14ac:dyDescent="0.35">
      <c r="T3" t="s">
        <v>4</v>
      </c>
      <c r="U3">
        <f>MAX(C2:M2)</f>
        <v>2</v>
      </c>
    </row>
    <row r="4" spans="2:21" x14ac:dyDescent="0.35">
      <c r="B4" t="s">
        <v>5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T4" t="s">
        <v>6</v>
      </c>
      <c r="U4">
        <f>SUM(R7:R9999)</f>
        <v>0</v>
      </c>
    </row>
    <row r="5" spans="2:21" x14ac:dyDescent="0.35">
      <c r="T5" t="s">
        <v>7</v>
      </c>
      <c r="U5">
        <f>COUNTIF(Q7:Q9999,"&lt;100")</f>
        <v>1</v>
      </c>
    </row>
    <row r="6" spans="2:21" ht="43.5" x14ac:dyDescent="0.35">
      <c r="C6" s="3" t="s">
        <v>8</v>
      </c>
      <c r="D6" s="3" t="s">
        <v>9</v>
      </c>
      <c r="E6" s="2" t="s">
        <v>23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P6" t="s">
        <v>18</v>
      </c>
      <c r="Q6" t="s">
        <v>19</v>
      </c>
      <c r="R6" t="s">
        <v>20</v>
      </c>
    </row>
    <row r="7" spans="2:21" x14ac:dyDescent="0.35">
      <c r="D7" t="s">
        <v>22</v>
      </c>
      <c r="E7">
        <v>7.5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P7">
        <f>COUNTBLANK(C7:M7)</f>
        <v>4</v>
      </c>
      <c r="Q7">
        <f>100*COUNTA(C7:M7)/$U$7</f>
        <v>63.636363636363633</v>
      </c>
      <c r="R7">
        <f>IF(Q7=100,1,0)</f>
        <v>0</v>
      </c>
      <c r="T7" t="s">
        <v>21</v>
      </c>
      <c r="U7">
        <f>SUM(C4:M4)</f>
        <v>11</v>
      </c>
    </row>
    <row r="8" spans="2:21" x14ac:dyDescent="0.35">
      <c r="D8" t="s">
        <v>29</v>
      </c>
      <c r="E8">
        <v>5</v>
      </c>
      <c r="F8" t="s">
        <v>30</v>
      </c>
      <c r="G8" t="s">
        <v>31</v>
      </c>
      <c r="H8" t="s">
        <v>32</v>
      </c>
      <c r="I8" t="s">
        <v>27</v>
      </c>
      <c r="J8" t="s">
        <v>27</v>
      </c>
    </row>
  </sheetData>
  <conditionalFormatting sqref="C7:M37">
    <cfRule type="containsBlanks" dxfId="0" priority="1">
      <formula>LEN(TRIM(C7))=0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2025-10-21T15:35:23Z</dcterms:modified>
</cp:coreProperties>
</file>